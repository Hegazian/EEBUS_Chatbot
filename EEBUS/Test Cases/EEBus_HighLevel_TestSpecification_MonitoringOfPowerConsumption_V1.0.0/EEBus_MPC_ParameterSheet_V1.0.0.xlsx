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ebastianHambücken\Desktop\"/>
    </mc:Choice>
  </mc:AlternateContent>
  <xr:revisionPtr revIDLastSave="0" documentId="8_{94796749-F923-4B63-8BEB-2F6AC6EE686D}" xr6:coauthVersionLast="47" xr6:coauthVersionMax="47" xr10:uidLastSave="{00000000-0000-0000-0000-000000000000}"/>
  <bookViews>
    <workbookView xWindow="28680" yWindow="-2700" windowWidth="38640" windowHeight="21120" tabRatio="500" xr2:uid="{00000000-000D-0000-FFFF-FFFF00000000}"/>
  </bookViews>
  <sheets>
    <sheet name="Report" sheetId="5" r:id="rId1"/>
    <sheet name="Specific Test Cases" sheetId="1" r:id="rId2"/>
    <sheet name="Comments" sheetId="3" r:id="rId3"/>
    <sheet name="Legend" sheetId="4" r:id="rId4"/>
  </sheets>
  <externalReferences>
    <externalReference r:id="rId5"/>
  </externalReferences>
  <definedNames>
    <definedName name="_xlnm._FilterDatabase" localSheetId="1" hidden="1">'Specific Test Cases'!$B$57:$K$255</definedName>
    <definedName name="_ITEM1" localSheetId="2">Comments!#REF!</definedName>
    <definedName name="_ITEM1">'Specific Test Cases'!#REF!</definedName>
    <definedName name="_ITEM2" localSheetId="2">Comments!#REF!</definedName>
    <definedName name="_ITEM2">'Specific Test Cases'!#REF!</definedName>
    <definedName name="_ITEM3" localSheetId="2">Comments!#REF!</definedName>
    <definedName name="_ITEM3">'Specific Test Cases'!#REF!</definedName>
    <definedName name="_ITEM4" localSheetId="2">Comments!#REF!</definedName>
    <definedName name="_ITEM4">'Specific Test Cases'!#REF!</definedName>
    <definedName name="_ITEM5" localSheetId="2">Comments!#REF!</definedName>
    <definedName name="_ITEM5">'Specific Test Cases'!#REF!</definedName>
    <definedName name="_ITEM6" localSheetId="2">Comments!#REF!</definedName>
    <definedName name="_ITEM6">'Specific Test Cases'!#REF!</definedName>
    <definedName name="_xlnm.Print_Area" localSheetId="2">Comments!$B$1:$Q$8</definedName>
    <definedName name="_xlnm.Print_Area" localSheetId="1">'Specific Test Cases'!$B$1:$N$213</definedName>
    <definedName name="Type">'[1]Maintenance Work Order'!#REF!</definedName>
  </definedNames>
  <calcPr calcId="191029"/>
  <fileRecoveryPr repairLoad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2" i="5" l="1"/>
  <c r="E30" i="5"/>
  <c r="E28" i="5"/>
  <c r="E26" i="5"/>
  <c r="E25" i="5" a="1"/>
  <c r="E25" i="5" s="1"/>
  <c r="E21" i="5" a="1"/>
  <c r="E21" i="5" s="1"/>
  <c r="E20" i="5" a="1"/>
  <c r="E20" i="5" s="1"/>
  <c r="E19" i="5" a="1"/>
  <c r="E19" i="5" s="1"/>
  <c r="E18" i="5" a="1"/>
  <c r="E18" i="5" s="1"/>
  <c r="E17" i="5" a="1"/>
  <c r="E17" i="5" s="1"/>
  <c r="E16" i="5" a="1"/>
  <c r="E16" i="5" s="1"/>
  <c r="J255" i="1"/>
  <c r="J254" i="1"/>
  <c r="J251" i="1"/>
  <c r="J249" i="1"/>
  <c r="J248" i="1"/>
  <c r="J245" i="1"/>
  <c r="J243" i="1"/>
  <c r="J242" i="1"/>
  <c r="J239" i="1"/>
  <c r="J237" i="1"/>
  <c r="J236" i="1"/>
  <c r="J233" i="1"/>
  <c r="J231" i="1"/>
  <c r="J230" i="1"/>
  <c r="J227" i="1"/>
  <c r="J225" i="1"/>
  <c r="J224" i="1"/>
  <c r="J221" i="1"/>
  <c r="J219" i="1"/>
  <c r="J218" i="1"/>
  <c r="J215" i="1"/>
  <c r="J213" i="1"/>
  <c r="J212" i="1"/>
  <c r="J211" i="1"/>
  <c r="J210" i="1"/>
  <c r="J207" i="1"/>
  <c r="J205" i="1"/>
  <c r="J203" i="1"/>
  <c r="J202" i="1"/>
  <c r="J201" i="1"/>
  <c r="J200" i="1"/>
  <c r="J197" i="1"/>
  <c r="J195" i="1"/>
  <c r="J193" i="1"/>
  <c r="J192" i="1"/>
  <c r="J191" i="1"/>
  <c r="J190" i="1"/>
  <c r="J187" i="1"/>
  <c r="J185" i="1"/>
  <c r="J183" i="1"/>
  <c r="J182" i="1"/>
  <c r="J179" i="1"/>
  <c r="J177" i="1"/>
  <c r="J176" i="1"/>
  <c r="J173" i="1"/>
  <c r="J171" i="1"/>
  <c r="J170" i="1"/>
  <c r="J169" i="1"/>
  <c r="J168" i="1"/>
  <c r="J165" i="1"/>
  <c r="J163" i="1"/>
  <c r="J161" i="1"/>
  <c r="J160" i="1"/>
  <c r="J159" i="1"/>
  <c r="J158" i="1"/>
  <c r="J155" i="1"/>
  <c r="J153" i="1"/>
  <c r="J151" i="1"/>
  <c r="J150" i="1"/>
  <c r="J149" i="1"/>
  <c r="J148" i="1"/>
  <c r="J145" i="1"/>
  <c r="J143" i="1"/>
  <c r="J141" i="1"/>
  <c r="J140" i="1"/>
  <c r="J139" i="1"/>
  <c r="J138" i="1"/>
  <c r="J135" i="1"/>
  <c r="J133" i="1"/>
  <c r="J129" i="1"/>
  <c r="J126" i="1"/>
  <c r="J123" i="1"/>
  <c r="J120" i="1"/>
  <c r="J117" i="1"/>
  <c r="J114" i="1"/>
  <c r="J111" i="1"/>
  <c r="J108" i="1"/>
  <c r="J105" i="1"/>
  <c r="J103" i="1"/>
  <c r="J100" i="1"/>
  <c r="J98" i="1"/>
  <c r="J95" i="1"/>
  <c r="J93" i="1"/>
  <c r="J90" i="1"/>
  <c r="J88" i="1"/>
  <c r="J86" i="1"/>
  <c r="J83" i="1"/>
  <c r="J80" i="1"/>
  <c r="J78" i="1"/>
  <c r="J75" i="1"/>
  <c r="J73" i="1"/>
  <c r="J70" i="1"/>
  <c r="J68" i="1"/>
  <c r="J65" i="1"/>
  <c r="J63" i="1"/>
  <c r="J59" i="1"/>
  <c r="I255" i="1"/>
  <c r="I254" i="1"/>
  <c r="I252" i="1"/>
  <c r="I251" i="1"/>
  <c r="I249" i="1"/>
  <c r="I248" i="1"/>
  <c r="I246" i="1"/>
  <c r="I245" i="1"/>
  <c r="I243" i="1"/>
  <c r="I242" i="1"/>
  <c r="I240" i="1"/>
  <c r="I239" i="1"/>
  <c r="I237" i="1"/>
  <c r="I236" i="1"/>
  <c r="I234" i="1"/>
  <c r="I233" i="1"/>
  <c r="I231" i="1"/>
  <c r="I230" i="1"/>
  <c r="I228" i="1"/>
  <c r="I227" i="1"/>
  <c r="I225" i="1"/>
  <c r="I224" i="1"/>
  <c r="I222" i="1"/>
  <c r="I221" i="1"/>
  <c r="I219" i="1"/>
  <c r="I218" i="1"/>
  <c r="I216" i="1"/>
  <c r="I215" i="1"/>
  <c r="I213" i="1"/>
  <c r="I212" i="1"/>
  <c r="I211" i="1"/>
  <c r="I210" i="1"/>
  <c r="I208" i="1"/>
  <c r="I207" i="1"/>
  <c r="I206" i="1"/>
  <c r="I205" i="1"/>
  <c r="I203" i="1"/>
  <c r="I202" i="1"/>
  <c r="I201" i="1"/>
  <c r="I200" i="1"/>
  <c r="I198" i="1"/>
  <c r="I197" i="1"/>
  <c r="I196" i="1"/>
  <c r="I195" i="1"/>
  <c r="I193" i="1"/>
  <c r="I192" i="1"/>
  <c r="I191" i="1"/>
  <c r="I190" i="1"/>
  <c r="I188" i="1"/>
  <c r="I187" i="1"/>
  <c r="I186" i="1"/>
  <c r="I185" i="1"/>
  <c r="I183" i="1"/>
  <c r="I182" i="1"/>
  <c r="I180" i="1"/>
  <c r="I179" i="1"/>
  <c r="I177" i="1"/>
  <c r="I176" i="1"/>
  <c r="I174" i="1"/>
  <c r="I173" i="1"/>
  <c r="I171" i="1"/>
  <c r="I170" i="1"/>
  <c r="I169" i="1"/>
  <c r="I168" i="1"/>
  <c r="I166" i="1"/>
  <c r="I165" i="1"/>
  <c r="I164" i="1"/>
  <c r="I163" i="1"/>
  <c r="I161" i="1"/>
  <c r="I160" i="1"/>
  <c r="I159" i="1"/>
  <c r="I158" i="1"/>
  <c r="I156" i="1"/>
  <c r="I155" i="1"/>
  <c r="I154" i="1"/>
  <c r="I153" i="1"/>
  <c r="I151" i="1"/>
  <c r="I150" i="1"/>
  <c r="I149" i="1"/>
  <c r="I148" i="1"/>
  <c r="I146" i="1"/>
  <c r="I145" i="1"/>
  <c r="I144" i="1"/>
  <c r="I143" i="1"/>
  <c r="I141" i="1"/>
  <c r="I140" i="1"/>
  <c r="I139" i="1"/>
  <c r="I138" i="1"/>
  <c r="I136" i="1"/>
  <c r="I135" i="1"/>
  <c r="I134" i="1"/>
  <c r="I133" i="1"/>
  <c r="I131" i="1"/>
  <c r="I129" i="1"/>
  <c r="I127" i="1"/>
  <c r="I126" i="1"/>
  <c r="I124" i="1"/>
  <c r="I123" i="1"/>
  <c r="I121" i="1"/>
  <c r="I120" i="1"/>
  <c r="I118" i="1"/>
  <c r="I117" i="1"/>
  <c r="I115" i="1"/>
  <c r="I114" i="1"/>
  <c r="I112" i="1"/>
  <c r="I111" i="1"/>
  <c r="I109" i="1"/>
  <c r="I108" i="1"/>
  <c r="I106" i="1"/>
  <c r="I105" i="1"/>
  <c r="I104" i="1"/>
  <c r="I103" i="1"/>
  <c r="I101" i="1"/>
  <c r="I100" i="1"/>
  <c r="I99" i="1"/>
  <c r="I98" i="1"/>
  <c r="I96" i="1"/>
  <c r="I95" i="1"/>
  <c r="I94" i="1"/>
  <c r="I93" i="1"/>
  <c r="I91" i="1"/>
  <c r="I90" i="1"/>
  <c r="I88" i="1"/>
  <c r="I86" i="1"/>
  <c r="I84" i="1"/>
  <c r="I83" i="1"/>
  <c r="I81" i="1"/>
  <c r="I80" i="1"/>
  <c r="I79" i="1"/>
  <c r="I78" i="1"/>
  <c r="I76" i="1"/>
  <c r="I75" i="1"/>
  <c r="I74" i="1"/>
  <c r="I73" i="1"/>
  <c r="I71" i="1"/>
  <c r="I70" i="1"/>
  <c r="I69" i="1"/>
  <c r="I68" i="1"/>
  <c r="I66" i="1"/>
  <c r="I65" i="1"/>
  <c r="I64" i="1"/>
  <c r="I63" i="1"/>
  <c r="I61" i="1"/>
  <c r="I59" i="1"/>
  <c r="H255" i="1"/>
  <c r="F255" i="1"/>
  <c r="H254" i="1"/>
  <c r="F254" i="1"/>
  <c r="H252" i="1"/>
  <c r="F252" i="1"/>
  <c r="H251" i="1"/>
  <c r="F251" i="1"/>
  <c r="H249" i="1"/>
  <c r="F249" i="1"/>
  <c r="H248" i="1"/>
  <c r="F248" i="1"/>
  <c r="H246" i="1"/>
  <c r="F246" i="1"/>
  <c r="H245" i="1"/>
  <c r="F245" i="1"/>
  <c r="H243" i="1"/>
  <c r="F243" i="1"/>
  <c r="H242" i="1"/>
  <c r="F242" i="1"/>
  <c r="H240" i="1"/>
  <c r="F240" i="1"/>
  <c r="H239" i="1"/>
  <c r="F239" i="1"/>
  <c r="H237" i="1"/>
  <c r="F237" i="1"/>
  <c r="H236" i="1"/>
  <c r="F236" i="1"/>
  <c r="H234" i="1"/>
  <c r="F234" i="1"/>
  <c r="H233" i="1"/>
  <c r="F233" i="1"/>
  <c r="H231" i="1"/>
  <c r="F231" i="1"/>
  <c r="H230" i="1"/>
  <c r="F230" i="1"/>
  <c r="H228" i="1"/>
  <c r="F228" i="1"/>
  <c r="H227" i="1"/>
  <c r="F227" i="1"/>
  <c r="H225" i="1"/>
  <c r="F225" i="1"/>
  <c r="H224" i="1"/>
  <c r="F224" i="1"/>
  <c r="H222" i="1"/>
  <c r="F222" i="1"/>
  <c r="H221" i="1"/>
  <c r="F221" i="1"/>
  <c r="H219" i="1"/>
  <c r="F219" i="1"/>
  <c r="H218" i="1"/>
  <c r="F218" i="1"/>
  <c r="H216" i="1"/>
  <c r="F216" i="1"/>
  <c r="H215" i="1"/>
  <c r="F215" i="1"/>
  <c r="H213" i="1"/>
  <c r="F213" i="1"/>
  <c r="H212" i="1"/>
  <c r="F212" i="1"/>
  <c r="H211" i="1"/>
  <c r="F211" i="1"/>
  <c r="H210" i="1"/>
  <c r="F210" i="1"/>
  <c r="H208" i="1"/>
  <c r="F208" i="1"/>
  <c r="H207" i="1"/>
  <c r="F207" i="1"/>
  <c r="H206" i="1"/>
  <c r="F206" i="1"/>
  <c r="H205" i="1"/>
  <c r="F205" i="1"/>
  <c r="H203" i="1"/>
  <c r="F203" i="1"/>
  <c r="H202" i="1"/>
  <c r="F202" i="1"/>
  <c r="H201" i="1"/>
  <c r="F201" i="1"/>
  <c r="H200" i="1"/>
  <c r="F200" i="1"/>
  <c r="H198" i="1"/>
  <c r="F198" i="1"/>
  <c r="H197" i="1"/>
  <c r="F197" i="1"/>
  <c r="H196" i="1"/>
  <c r="F196" i="1"/>
  <c r="H195" i="1"/>
  <c r="F195" i="1"/>
  <c r="H193" i="1"/>
  <c r="F193" i="1"/>
  <c r="H192" i="1"/>
  <c r="F192" i="1"/>
  <c r="H191" i="1"/>
  <c r="F191" i="1"/>
  <c r="H190" i="1"/>
  <c r="F190" i="1"/>
  <c r="H188" i="1"/>
  <c r="F188" i="1"/>
  <c r="H187" i="1"/>
  <c r="F187" i="1"/>
  <c r="H186" i="1"/>
  <c r="F186" i="1"/>
  <c r="H185" i="1"/>
  <c r="F185" i="1"/>
  <c r="H183" i="1"/>
  <c r="F183" i="1"/>
  <c r="H182" i="1"/>
  <c r="F182" i="1"/>
  <c r="H180" i="1"/>
  <c r="F180" i="1"/>
  <c r="H179" i="1"/>
  <c r="F179" i="1"/>
  <c r="H177" i="1"/>
  <c r="F177" i="1"/>
  <c r="H176" i="1"/>
  <c r="F176" i="1"/>
  <c r="H174" i="1"/>
  <c r="F174" i="1"/>
  <c r="H173" i="1"/>
  <c r="F173" i="1"/>
  <c r="H171" i="1"/>
  <c r="F171" i="1"/>
  <c r="H170" i="1"/>
  <c r="F170" i="1"/>
  <c r="H169" i="1"/>
  <c r="F169" i="1"/>
  <c r="H168" i="1"/>
  <c r="F168" i="1"/>
  <c r="H166" i="1"/>
  <c r="F166" i="1"/>
  <c r="H165" i="1"/>
  <c r="F165" i="1"/>
  <c r="H164" i="1"/>
  <c r="F164" i="1"/>
  <c r="H163" i="1"/>
  <c r="F163" i="1"/>
  <c r="H161" i="1"/>
  <c r="F161" i="1"/>
  <c r="H160" i="1"/>
  <c r="F160" i="1"/>
  <c r="H159" i="1"/>
  <c r="F159" i="1"/>
  <c r="H158" i="1"/>
  <c r="F158" i="1"/>
  <c r="H156" i="1"/>
  <c r="F156" i="1"/>
  <c r="H155" i="1"/>
  <c r="F155" i="1"/>
  <c r="H154" i="1"/>
  <c r="F154" i="1"/>
  <c r="H153" i="1"/>
  <c r="F153" i="1"/>
  <c r="H151" i="1"/>
  <c r="F151" i="1"/>
  <c r="H150" i="1"/>
  <c r="F150" i="1"/>
  <c r="H149" i="1"/>
  <c r="F149" i="1"/>
  <c r="H148" i="1"/>
  <c r="F148" i="1"/>
  <c r="H146" i="1"/>
  <c r="F146" i="1"/>
  <c r="H145" i="1"/>
  <c r="F145" i="1"/>
  <c r="H144" i="1"/>
  <c r="F144" i="1"/>
  <c r="H143" i="1"/>
  <c r="F143" i="1"/>
  <c r="H141" i="1"/>
  <c r="F141" i="1"/>
  <c r="H140" i="1"/>
  <c r="F140" i="1"/>
  <c r="H139" i="1"/>
  <c r="F139" i="1"/>
  <c r="H138" i="1"/>
  <c r="F138" i="1"/>
  <c r="H136" i="1"/>
  <c r="F136" i="1"/>
  <c r="H135" i="1"/>
  <c r="F135" i="1"/>
  <c r="H134" i="1"/>
  <c r="F134" i="1"/>
  <c r="H133" i="1"/>
  <c r="F133" i="1"/>
  <c r="H127" i="1"/>
  <c r="F127" i="1"/>
  <c r="H126" i="1"/>
  <c r="F126" i="1"/>
  <c r="H124" i="1"/>
  <c r="F124" i="1"/>
  <c r="H123" i="1"/>
  <c r="F123" i="1"/>
  <c r="H121" i="1"/>
  <c r="F121" i="1"/>
  <c r="H120" i="1"/>
  <c r="F120" i="1"/>
  <c r="H118" i="1"/>
  <c r="F118" i="1"/>
  <c r="H117" i="1"/>
  <c r="F117" i="1"/>
  <c r="H115" i="1"/>
  <c r="F115" i="1"/>
  <c r="H114" i="1"/>
  <c r="F114" i="1"/>
  <c r="H112" i="1"/>
  <c r="F112" i="1"/>
  <c r="H111" i="1"/>
  <c r="F111" i="1"/>
  <c r="H109" i="1"/>
  <c r="F109" i="1"/>
  <c r="H108" i="1"/>
  <c r="F108" i="1"/>
  <c r="H106" i="1"/>
  <c r="F106" i="1"/>
  <c r="H105" i="1"/>
  <c r="F105" i="1"/>
  <c r="H104" i="1"/>
  <c r="F104" i="1"/>
  <c r="H103" i="1"/>
  <c r="F103" i="1"/>
  <c r="H101" i="1"/>
  <c r="F101" i="1"/>
  <c r="H100" i="1"/>
  <c r="F100" i="1"/>
  <c r="H99" i="1"/>
  <c r="F99" i="1"/>
  <c r="H98" i="1"/>
  <c r="F98" i="1"/>
  <c r="H96" i="1"/>
  <c r="F96" i="1"/>
  <c r="H95" i="1"/>
  <c r="F95" i="1"/>
  <c r="H94" i="1"/>
  <c r="F94" i="1"/>
  <c r="H93" i="1"/>
  <c r="F93" i="1"/>
  <c r="H91" i="1"/>
  <c r="F91" i="1"/>
  <c r="H90" i="1"/>
  <c r="F90" i="1"/>
  <c r="H88" i="1"/>
  <c r="F88" i="1"/>
  <c r="H86" i="1"/>
  <c r="F86" i="1"/>
  <c r="H84" i="1"/>
  <c r="F84" i="1"/>
  <c r="H83" i="1"/>
  <c r="F83" i="1"/>
  <c r="H81" i="1"/>
  <c r="F81" i="1"/>
  <c r="H80" i="1"/>
  <c r="F80" i="1"/>
  <c r="H79" i="1"/>
  <c r="F79" i="1"/>
  <c r="H78" i="1"/>
  <c r="F78" i="1"/>
  <c r="H76" i="1"/>
  <c r="F76" i="1"/>
  <c r="H75" i="1"/>
  <c r="F75" i="1"/>
  <c r="H74" i="1"/>
  <c r="F74" i="1"/>
  <c r="H73" i="1"/>
  <c r="F73" i="1"/>
  <c r="H71" i="1"/>
  <c r="F71" i="1"/>
  <c r="H70" i="1"/>
  <c r="F70" i="1"/>
  <c r="H69" i="1"/>
  <c r="F69" i="1"/>
  <c r="H68" i="1"/>
  <c r="F68" i="1"/>
  <c r="H66" i="1"/>
  <c r="F66" i="1"/>
  <c r="H65" i="1"/>
  <c r="F65" i="1"/>
  <c r="H64" i="1"/>
  <c r="F64" i="1"/>
  <c r="H63" i="1"/>
  <c r="F63" i="1"/>
  <c r="F38" i="1"/>
  <c r="E38" i="1"/>
  <c r="F36" i="1"/>
  <c r="E36" i="1"/>
  <c r="E27" i="5" l="1"/>
  <c r="E29" i="5"/>
  <c r="E3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<sst xmlns="http://schemas.openxmlformats.org/spreadsheetml/2006/main" count="440" uniqueCount="168">
  <si>
    <t>TEST NO.</t>
  </si>
  <si>
    <t>NAME OF TESTER(S)</t>
  </si>
  <si>
    <t>GENERAL QUESTIONS / COMMENTS</t>
  </si>
  <si>
    <t>COMMENTS / NOTES / ADDITIONS</t>
  </si>
  <si>
    <t>USE CASE</t>
  </si>
  <si>
    <t>TEST DATE</t>
  </si>
  <si>
    <t>STC ID</t>
  </si>
  <si>
    <t>MANUFACTURER NAME</t>
  </si>
  <si>
    <t>TECHNOLOGY</t>
  </si>
  <si>
    <t>TEST VERDICT</t>
  </si>
  <si>
    <t>e.g. SPINE</t>
  </si>
  <si>
    <t>DEVICE TYPE</t>
  </si>
  <si>
    <t>VALUE USED IN
TEST STEP</t>
  </si>
  <si>
    <t>Power total</t>
  </si>
  <si>
    <t>Phase A</t>
  </si>
  <si>
    <t>Phase B</t>
  </si>
  <si>
    <t>Phase C</t>
  </si>
  <si>
    <t>Phase C / Phase A</t>
  </si>
  <si>
    <t>Phase B / Phase C</t>
  </si>
  <si>
    <t>Phase C / neutral</t>
  </si>
  <si>
    <t>Phase A / Phase B</t>
  </si>
  <si>
    <t>Phase B / neutral</t>
  </si>
  <si>
    <t>Phase A / neutral</t>
  </si>
  <si>
    <t>Frequency</t>
  </si>
  <si>
    <t>Usage</t>
  </si>
  <si>
    <t>MonitoringState_01</t>
  </si>
  <si>
    <t>MonitoringState_02</t>
  </si>
  <si>
    <t>MonitoringState_03</t>
  </si>
  <si>
    <t>Polling</t>
  </si>
  <si>
    <t>DATA TRANSMISSION</t>
  </si>
  <si>
    <t>TOTAL ACTIVE POWER [Watt]</t>
  </si>
  <si>
    <t>PHASE-SPECIFIC AC CURRENT [Ampere]</t>
  </si>
  <si>
    <t>AC FREQUENCY [Hertz]</t>
  </si>
  <si>
    <t>DATA POINT VALUE</t>
  </si>
  <si>
    <t>CONNECTED PHASES</t>
  </si>
  <si>
    <t>SUPPORTED DATA POINTS</t>
  </si>
  <si>
    <t>Total Active Power</t>
  </si>
  <si>
    <t>Phase-Specific AC Current</t>
  </si>
  <si>
    <t>Phase-Specific AC Voltage</t>
  </si>
  <si>
    <t>AC Frequency</t>
  </si>
  <si>
    <t>ATC_COM_PT_MAPolling_001</t>
  </si>
  <si>
    <t>ATC_COM_PT_MANotification_001</t>
  </si>
  <si>
    <t>Phase-Specific Active Power</t>
  </si>
  <si>
    <t>Total Consumed Energy</t>
  </si>
  <si>
    <t>Total Produced Energy</t>
  </si>
  <si>
    <t>PHASE-SPECIFIC ACTIVE POWER [Watt]</t>
  </si>
  <si>
    <t>TOTAL CONSUMED ENERGY [Watt]</t>
  </si>
  <si>
    <t>TOTAL PRODUCED ENERGY [Watt]</t>
  </si>
  <si>
    <t>Total produced energy</t>
  </si>
  <si>
    <t>Total consumed energy</t>
  </si>
  <si>
    <t>ATC_COM_PT_MUPolling_001</t>
  </si>
  <si>
    <t>ATC_COM_PT_MUNotification_001</t>
  </si>
  <si>
    <t>ATC_SCE1_PT_MUTotalActivePower_001</t>
  </si>
  <si>
    <t>ATC_SCE1_PT_MUPhaseActivePower_001</t>
  </si>
  <si>
    <t>ATC_SCE1_PT_MUPhaseActivePower_002</t>
  </si>
  <si>
    <t>ATC_SCE1_PT_MUPhaseActivePower_003</t>
  </si>
  <si>
    <t>ATC_SCE2_PT_MUTotalConsumedEnergy_001</t>
  </si>
  <si>
    <t>ATC_SCE2_PT_MUTotalConsumedEnergy_002</t>
  </si>
  <si>
    <t>ATC_SCE2_PT_MUTotalProducedEnergy_001</t>
  </si>
  <si>
    <t>ATC_SCE2_PT_MUTotalProducedEnergy_002</t>
  </si>
  <si>
    <t>ATC_SCE3_PT_MUActiveACCurrent_001</t>
  </si>
  <si>
    <t>ATC_SCE3_PT_MUActiveACCurrent_002</t>
  </si>
  <si>
    <t>ATC_SCE3_PT_MUActiveACCurrent_003</t>
  </si>
  <si>
    <t>ATC_SCE4_PT_MUACVoltage_001</t>
  </si>
  <si>
    <t>ATC_SCE4_PT_MUACVoltage_002</t>
  </si>
  <si>
    <t>ATC_SCE4_PT_MUACVoltage_003</t>
  </si>
  <si>
    <t>ATC_SCE4_PT_MUACVoltage_004</t>
  </si>
  <si>
    <t>ATC_SCE5_PT_MUFrequency_001</t>
  </si>
  <si>
    <t>ATC_SCE1_PT_MATotalActivePower_001</t>
  </si>
  <si>
    <t>ATC_SCE1_NT_MATotalActivePower_002</t>
  </si>
  <si>
    <t>ATC_SCE1_PT_MAPhaseActivePower_001</t>
  </si>
  <si>
    <t>ATC_SCE1_NT_MAPhaseActivePower_002</t>
  </si>
  <si>
    <t>ATC_SCE1_PT_MAPhaseActivePower_003</t>
  </si>
  <si>
    <t>ATC_SCE1_NT_MAPhaseActivePower_004</t>
  </si>
  <si>
    <t>ATC_SCE1_PT_MAPhaseActivePower_005</t>
  </si>
  <si>
    <t>ATC_SCE1_NT_MAPhaseActivePower_006</t>
  </si>
  <si>
    <t>ATC_SCE2_PT_MATotalConsumedEnergy_001</t>
  </si>
  <si>
    <t>ATC_SCE2_NT_MATotalConsumedEnergy_002</t>
  </si>
  <si>
    <t>ATC_SCE2_PT_MATotalProducedEnergy_001</t>
  </si>
  <si>
    <t>ATC_SCE2_NT_MATotalProducedEnergy_002</t>
  </si>
  <si>
    <t>ATC_SCE3_PT_MAActiveACCurrent_001</t>
  </si>
  <si>
    <t>ATC_SCE3_NT_MAActiveACCurrent_002</t>
  </si>
  <si>
    <t>ATC_SCE3_PT_MAActiveACCurrent_003</t>
  </si>
  <si>
    <t>ATC_SCE3_NT_MAActiveACCurrent_004</t>
  </si>
  <si>
    <t>ATC_SCE3_PT_MAActiveACCurrent_005</t>
  </si>
  <si>
    <t>ATC_SCE3_NT_MAActiveACCurrent_006</t>
  </si>
  <si>
    <t>ATC_SCE4_PT_MAACVoltage_001</t>
  </si>
  <si>
    <t>ATC_SCE4_NT_MAACVoltage_002</t>
  </si>
  <si>
    <t>ATC_SCE4_PT_MAACVoltage_003</t>
  </si>
  <si>
    <t>ATC_SCE4_NT_MAACVoltage_004</t>
  </si>
  <si>
    <t>ATC_SCE4_PT_MAACVoltage_005</t>
  </si>
  <si>
    <t>ATC_SCE4_NT_MAACVoltage_006</t>
  </si>
  <si>
    <t>ATC_SCE4_PT_MAACVoltage_007</t>
  </si>
  <si>
    <t>ATC_SCE4_NT_MAACVoltage_008</t>
  </si>
  <si>
    <t>ATC_SCE4_PT_MAACVoltage_009</t>
  </si>
  <si>
    <t>ATC_SCE4_NT_MAACVoltage_010</t>
  </si>
  <si>
    <t>ATC_SCE4_PT_MAACVoltage_011</t>
  </si>
  <si>
    <t>ATC_SCE4_NT_MAACVoltage_012</t>
  </si>
  <si>
    <t>ATC_SCE5_PT_MAFrequency_001</t>
  </si>
  <si>
    <t>ATC_SCE5_NT_MAFrequency_002</t>
  </si>
  <si>
    <t>PARAMETER SHEET - LEGEND</t>
  </si>
  <si>
    <t>Revisions</t>
  </si>
  <si>
    <t>Version</t>
  </si>
  <si>
    <t>Date/Editor</t>
  </si>
  <si>
    <t>Specific Test Cases</t>
  </si>
  <si>
    <t>Cells with a white background need to be manually filled in with device specific information or information taken from the test specification.</t>
  </si>
  <si>
    <t>Greyed-out cells are filled in automatically.</t>
  </si>
  <si>
    <t>Data transmission</t>
  </si>
  <si>
    <t>Supported data points</t>
  </si>
  <si>
    <t>Use the drop-down menu to select which data point is supported by the DUT. [YES/NO]</t>
  </si>
  <si>
    <t>Formatting rules</t>
  </si>
  <si>
    <t>Test verdict</t>
  </si>
  <si>
    <t>According to the chosen test verdict its background is colorized. [PASSED/FAILED/NOT APPLICABLE]</t>
  </si>
  <si>
    <t>Passed</t>
  </si>
  <si>
    <t>Failed</t>
  </si>
  <si>
    <t>Not applicable</t>
  </si>
  <si>
    <t>PARAMETER SHEET - COMMENTS</t>
  </si>
  <si>
    <t>ENERGY DIRECTIONS</t>
  </si>
  <si>
    <t>POLLING INTERVAL
[seconds]</t>
  </si>
  <si>
    <t>PARAMETER SHEET - SPECIFIC TEST CASES</t>
  </si>
  <si>
    <t>Notification</t>
  </si>
  <si>
    <t>consume</t>
  </si>
  <si>
    <t>produce</t>
  </si>
  <si>
    <t>1.1</t>
  </si>
  <si>
    <t>1.2</t>
  </si>
  <si>
    <t>2.1</t>
  </si>
  <si>
    <t>2.2</t>
  </si>
  <si>
    <t>ATC_SCE4_PT_MUACVoltage_005</t>
  </si>
  <si>
    <t>ATC_SCE4_PT_MUACVoltage_006</t>
  </si>
  <si>
    <t>Interval [seconds]</t>
  </si>
  <si>
    <t>Data point values</t>
  </si>
  <si>
    <t>Don't care</t>
  </si>
  <si>
    <r>
      <t xml:space="preserve">The corresponding data point values shall be filled in as follows:
</t>
    </r>
    <r>
      <rPr>
        <i/>
        <sz val="10"/>
        <color theme="1"/>
        <rFont val="Century Gothic"/>
        <family val="2"/>
      </rPr>
      <t>MU as DUT</t>
    </r>
    <r>
      <rPr>
        <sz val="10"/>
        <color theme="1"/>
        <rFont val="Century Gothic"/>
        <family val="1"/>
      </rPr>
      <t xml:space="preserve">: The value received by the tester. (Optional: Compare the read value with the MU display.)
</t>
    </r>
    <r>
      <rPr>
        <i/>
        <sz val="10"/>
        <color theme="1"/>
        <rFont val="Century Gothic"/>
        <family val="2"/>
      </rPr>
      <t>MA as DUT</t>
    </r>
    <r>
      <rPr>
        <sz val="10"/>
        <color theme="1"/>
        <rFont val="Century Gothic"/>
        <family val="1"/>
      </rPr>
      <t>: The received value of the MA. (Mandatory: Compare the read value with the tester display.)</t>
    </r>
  </si>
  <si>
    <t>ENERGY DIRECTION</t>
  </si>
  <si>
    <t>RANGES OF THE DUT</t>
  </si>
  <si>
    <t>MIN</t>
  </si>
  <si>
    <t>MAX</t>
  </si>
  <si>
    <t>MONITORING
VALUE STATE</t>
  </si>
  <si>
    <t>any</t>
  </si>
  <si>
    <t>PHASE-SPECIFIC AC VOLTAGE [Volt]</t>
  </si>
  <si>
    <t>Use the drop-down menu to select whether the DUT uses polling or notification. [YES/NO]</t>
  </si>
  <si>
    <t>V1.0.0</t>
  </si>
  <si>
    <t>2024-04-30 - SH</t>
  </si>
  <si>
    <t xml:space="preserve"> </t>
  </si>
  <si>
    <t>PARAMETER SHEET - REPORT</t>
  </si>
  <si>
    <t>MODEL</t>
  </si>
  <si>
    <t>ACTOR</t>
  </si>
  <si>
    <t>Overall Status</t>
  </si>
  <si>
    <t>Number of ATCs</t>
  </si>
  <si>
    <t>Number of STCs</t>
  </si>
  <si>
    <t>Test cycle duration</t>
  </si>
  <si>
    <t>Execution Status</t>
  </si>
  <si>
    <t>Number of STCs executed</t>
  </si>
  <si>
    <t>Number of passed STCs</t>
  </si>
  <si>
    <t>Passed percentace</t>
  </si>
  <si>
    <t>Number of failed STCs</t>
  </si>
  <si>
    <t>Failed percentage</t>
  </si>
  <si>
    <t>Number of not applicable STCs</t>
  </si>
  <si>
    <t>Not applicable percentace</t>
  </si>
  <si>
    <t>Approval</t>
  </si>
  <si>
    <t>Approved by</t>
  </si>
  <si>
    <t>Date</t>
  </si>
  <si>
    <t>Signature</t>
  </si>
  <si>
    <t>Number of ATCs for the MU</t>
  </si>
  <si>
    <t>Number of ATCs for the MA</t>
  </si>
  <si>
    <t>Number of STCs for the MU</t>
  </si>
  <si>
    <t>Number of STCs for the MA</t>
  </si>
  <si>
    <t>MPC 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</si>
</sst>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0"/>
      <name val="Century Gothic"/>
      <family val="2"/>
    </font>
    <font>
      <b/>
      <sz val="11"/>
      <color theme="0"/>
      <name val="Century Gothic"/>
      <family val="1"/>
    </font>
    <font>
      <b/>
      <sz val="10"/>
      <color theme="1"/>
      <name val="Century Gothic"/>
      <family val="2"/>
    </font>
    <font>
      <strike/>
      <sz val="10"/>
      <color rgb="FF000000"/>
      <name val="Century Gothic"/>
      <family val="2"/>
    </font>
    <font>
      <i/>
      <sz val="10"/>
      <color theme="1"/>
      <name val="Century Gothic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name val="Century Gothic"/>
      <family val="1"/>
    </font>
    <font>
      <b/>
      <sz val="10"/>
      <color theme="1"/>
      <name val="Century Gothic"/>
      <family val="1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</cellStyleXfs>
  <cellXfs count="159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0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vertical="center"/>
    </xf>
    <xf numFmtId="0" fontId="9" fillId="0" borderId="6" xfId="0" applyFont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2" borderId="0" xfId="0" quotePrefix="1" applyFont="1" applyFill="1" applyAlignment="1">
      <alignment horizontal="left" vertical="center" wrapText="1"/>
    </xf>
    <xf numFmtId="0" fontId="2" fillId="2" borderId="0" xfId="0" applyFont="1" applyFill="1"/>
    <xf numFmtId="0" fontId="13" fillId="2" borderId="8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3" fillId="2" borderId="7" xfId="0" applyFont="1" applyFill="1" applyBorder="1" applyAlignment="1">
      <alignment vertical="center" wrapText="1"/>
    </xf>
    <xf numFmtId="0" fontId="9" fillId="2" borderId="11" xfId="0" quotePrefix="1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 indent="1"/>
    </xf>
    <xf numFmtId="0" fontId="0" fillId="2" borderId="0" xfId="0" applyFill="1" applyAlignment="1">
      <alignment vertical="top"/>
    </xf>
    <xf numFmtId="0" fontId="10" fillId="2" borderId="4" xfId="0" applyFont="1" applyFill="1" applyBorder="1" applyAlignment="1">
      <alignment vertical="center" wrapText="1"/>
    </xf>
    <xf numFmtId="0" fontId="10" fillId="9" borderId="5" xfId="0" applyFont="1" applyFill="1" applyBorder="1" applyAlignment="1">
      <alignment vertical="center" wrapText="1"/>
    </xf>
    <xf numFmtId="0" fontId="10" fillId="10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17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0" xfId="0" quotePrefix="1" applyFont="1" applyFill="1" applyAlignment="1">
      <alignment horizontal="left" vertical="center" wrapText="1" indent="1"/>
    </xf>
    <xf numFmtId="0" fontId="1" fillId="2" borderId="0" xfId="0" applyFont="1" applyFill="1"/>
    <xf numFmtId="0" fontId="0" fillId="2" borderId="0" xfId="0" applyFill="1"/>
    <xf numFmtId="0" fontId="12" fillId="2" borderId="4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vertical="center" wrapText="1"/>
    </xf>
    <xf numFmtId="0" fontId="9" fillId="8" borderId="1" xfId="0" quotePrefix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4" fillId="8" borderId="5" xfId="0" quotePrefix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quotePrefix="1" applyFont="1" applyFill="1" applyBorder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49" fontId="10" fillId="8" borderId="1" xfId="0" applyNumberFormat="1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10" fillId="2" borderId="0" xfId="0" applyFont="1" applyFill="1"/>
    <xf numFmtId="0" fontId="9" fillId="2" borderId="14" xfId="0" applyFont="1" applyFill="1" applyBorder="1" applyAlignment="1">
      <alignment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right" vertical="center" wrapText="1" indent="1"/>
    </xf>
    <xf numFmtId="0" fontId="23" fillId="5" borderId="9" xfId="0" applyFont="1" applyFill="1" applyBorder="1" applyAlignment="1">
      <alignment horizontal="right" vertical="center" wrapText="1" indent="1"/>
    </xf>
    <xf numFmtId="0" fontId="5" fillId="2" borderId="0" xfId="0" quotePrefix="1" applyFont="1" applyFill="1" applyAlignment="1">
      <alignment horizontal="left" vertical="center" wrapText="1"/>
    </xf>
    <xf numFmtId="0" fontId="5" fillId="2" borderId="0" xfId="0" quotePrefix="1" applyFont="1" applyFill="1" applyAlignment="1">
      <alignment horizontal="left" vertical="center"/>
    </xf>
    <xf numFmtId="0" fontId="24" fillId="2" borderId="6" xfId="0" applyFont="1" applyFill="1" applyBorder="1" applyAlignment="1">
      <alignment horizontal="right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8" borderId="5" xfId="0" quotePrefix="1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vertical="center" wrapText="1"/>
    </xf>
    <xf numFmtId="0" fontId="24" fillId="8" borderId="1" xfId="0" applyFont="1" applyFill="1" applyBorder="1" applyAlignment="1">
      <alignment horizontal="center" vertical="center" wrapText="1"/>
    </xf>
    <xf numFmtId="9" fontId="24" fillId="8" borderId="7" xfId="0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vertical="top"/>
    </xf>
    <xf numFmtId="0" fontId="22" fillId="2" borderId="1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22" fillId="2" borderId="2" xfId="0" applyFont="1" applyFill="1" applyBorder="1" applyAlignment="1">
      <alignment horizontal="left"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9" fillId="2" borderId="10" xfId="0" applyNumberFormat="1" applyFont="1" applyFill="1" applyBorder="1" applyAlignment="1">
      <alignment horizontal="center" vertical="center"/>
    </xf>
    <xf numFmtId="49" fontId="9" fillId="2" borderId="13" xfId="0" applyNumberFormat="1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right" vertical="center" wrapText="1" indent="1"/>
    </xf>
    <xf numFmtId="0" fontId="23" fillId="5" borderId="6" xfId="0" applyFont="1" applyFill="1" applyBorder="1" applyAlignment="1">
      <alignment horizontal="right" vertical="center" wrapText="1" indent="1"/>
    </xf>
    <xf numFmtId="0" fontId="23" fillId="5" borderId="5" xfId="0" applyFont="1" applyFill="1" applyBorder="1" applyAlignment="1">
      <alignment horizontal="right" vertical="center" wrapText="1" inden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 wrapText="1"/>
    </xf>
    <xf numFmtId="49" fontId="9" fillId="2" borderId="10" xfId="0" applyNumberFormat="1" applyFont="1" applyFill="1" applyBorder="1" applyAlignment="1">
      <alignment horizontal="center" vertical="center" wrapText="1"/>
    </xf>
    <xf numFmtId="49" fontId="9" fillId="2" borderId="13" xfId="0" applyNumberFormat="1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13" fillId="5" borderId="6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left" vertical="center" wrapText="1"/>
    </xf>
    <xf numFmtId="0" fontId="23" fillId="5" borderId="4" xfId="0" applyFont="1" applyFill="1" applyBorder="1" applyAlignment="1">
      <alignment horizontal="right" vertical="center" wrapText="1" indent="1"/>
    </xf>
    <xf numFmtId="0" fontId="23" fillId="5" borderId="9" xfId="0" applyFont="1" applyFill="1" applyBorder="1" applyAlignment="1">
      <alignment horizontal="right" vertical="center" wrapText="1" indent="1"/>
    </xf>
    <xf numFmtId="0" fontId="23" fillId="5" borderId="2" xfId="0" applyFont="1" applyFill="1" applyBorder="1" applyAlignment="1">
      <alignment horizontal="right" vertical="center" wrapText="1" indent="1"/>
    </xf>
    <xf numFmtId="0" fontId="23" fillId="5" borderId="7" xfId="0" applyFont="1" applyFill="1" applyBorder="1" applyAlignment="1">
      <alignment horizontal="right" vertical="center" wrapText="1" indent="1"/>
    </xf>
    <xf numFmtId="49" fontId="24" fillId="2" borderId="4" xfId="0" applyNumberFormat="1" applyFont="1" applyFill="1" applyBorder="1" applyAlignment="1">
      <alignment horizontal="center" vertical="center" wrapText="1"/>
    </xf>
    <xf numFmtId="49" fontId="24" fillId="2" borderId="5" xfId="0" applyNumberFormat="1" applyFont="1" applyFill="1" applyBorder="1" applyAlignment="1">
      <alignment horizontal="center" vertical="center" wrapText="1"/>
    </xf>
    <xf numFmtId="14" fontId="24" fillId="2" borderId="4" xfId="0" applyNumberFormat="1" applyFont="1" applyFill="1" applyBorder="1" applyAlignment="1">
      <alignment horizontal="center" vertical="center" wrapText="1"/>
    </xf>
    <xf numFmtId="14" fontId="24" fillId="2" borderId="5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left" vertical="center" wrapText="1"/>
    </xf>
    <xf numFmtId="0" fontId="13" fillId="6" borderId="6" xfId="0" applyFont="1" applyFill="1" applyBorder="1" applyAlignment="1">
      <alignment horizontal="left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left" vertical="center" wrapText="1"/>
    </xf>
    <xf numFmtId="0" fontId="13" fillId="5" borderId="14" xfId="0" applyFont="1" applyFill="1" applyBorder="1" applyAlignment="1">
      <alignment horizontal="left" vertical="center" wrapText="1"/>
    </xf>
    <xf numFmtId="0" fontId="13" fillId="5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left" vertical="center"/>
    </xf>
    <xf numFmtId="0" fontId="13" fillId="7" borderId="5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15" fillId="5" borderId="6" xfId="0" applyFont="1" applyFill="1" applyBorder="1" applyAlignment="1">
      <alignment horizontal="left" vertical="center" wrapText="1"/>
    </xf>
    <xf numFmtId="0" fontId="15" fillId="5" borderId="5" xfId="0" applyFont="1" applyFill="1" applyBorder="1" applyAlignment="1">
      <alignment horizontal="left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left" vertical="center" wrapText="1"/>
    </xf>
    <xf numFmtId="0" fontId="16" fillId="2" borderId="5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</cellXfs>
  <cellStyles count="4">
    <cellStyle name="Followed Hyperlink" xfId="2" builtinId="9" hidden="1"/>
    <cellStyle name="Hyperlink" xfId="1" builtinId="8" hidden="1"/>
    <cellStyle name="Normal" xfId="0" builtinId="0"/>
    <cellStyle name="Normal 2" xfId="3" xr:uid="{00000000-0005-0000-0000-000004000000}"/>
  </cellStyles>
  <dxfs count="156"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9" defaultPivotStyle="PivotStyleMedium7"/>
  <colors>
    <mruColors>
      <color rgb="FFEAEEF3"/>
      <color rgb="FFDAF0F3"/>
      <color rgb="FFE6E6E6"/>
      <color rgb="FFFAFAFA"/>
      <color rgb="FFC8C8C8"/>
      <color rgb="FF03C25B"/>
      <color rgb="FF509D9A"/>
      <color rgb="FF5DB2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34636</xdr:colOff>
      <xdr:row>0</xdr:row>
      <xdr:rowOff>43295</xdr:rowOff>
    </xdr:from>
    <xdr:ext cx="1778826" cy="504895"/>
    <xdr:pic>
      <xdr:nvPicPr>
        <xdr:cNvPr id="2" name="Picture 1">
          <a:extLst>
            <a:ext uri="{FF2B5EF4-FFF2-40B4-BE49-F238E27FC236}">
              <a16:creationId xmlns:a16="http://schemas.microsoft.com/office/drawing/2014/main" id="{AEA48C26-7119-40F4-B78E-2069D793B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61" y="43295"/>
          <a:ext cx="1778826" cy="5048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</xdr:colOff>
      <xdr:row>0</xdr:row>
      <xdr:rowOff>43295</xdr:rowOff>
    </xdr:from>
    <xdr:to>
      <xdr:col>2</xdr:col>
      <xdr:colOff>1237200</xdr:colOff>
      <xdr:row>0</xdr:row>
      <xdr:rowOff>548190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D80075-6057-4379-997F-C9E007CB0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61" y="43295"/>
          <a:ext cx="1778826" cy="5048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</xdr:colOff>
      <xdr:row>0</xdr:row>
      <xdr:rowOff>43295</xdr:rowOff>
    </xdr:from>
    <xdr:to>
      <xdr:col>2</xdr:col>
      <xdr:colOff>1232437</xdr:colOff>
      <xdr:row>0</xdr:row>
      <xdr:rowOff>548190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D6A1C3-6526-4269-B57D-24BBCCCDD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61" y="43295"/>
          <a:ext cx="1778826" cy="5048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34636</xdr:colOff>
      <xdr:row>0</xdr:row>
      <xdr:rowOff>43295</xdr:rowOff>
    </xdr:from>
    <xdr:ext cx="1778826" cy="504895"/>
    <xdr:pic>
      <xdr:nvPicPr>
        <xdr:cNvPr id="5" name="Picture 4">
          <a:extLst>
            <a:ext uri="{FF2B5EF4-FFF2-40B4-BE49-F238E27FC236}">
              <a16:creationId xmlns:a16="http://schemas.microsoft.com/office/drawing/2014/main" id="{11054380-0069-4208-82EA-49E9C19CA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61" y="43295"/>
          <a:ext cx="1778826" cy="50489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19FE-FAFD-4436-9C85-FA13F13B6469}">
  <sheetPr>
    <tabColor theme="3" tint="0.39997558519241921"/>
  </sheetPr>
  <dimension ref="A1:F37"/>
  <sheetViews>
    <sheetView tabSelected="1" workbookViewId="0"/>
  </sheetViews>
  <sheetFormatPr defaultColWidth="0" defaultRowHeight="12.75" customHeight="1" zeroHeight="1" x14ac:dyDescent="0.2"/>
  <cols>
    <col min="1" max="1" width="3" style="43" customWidth="1"/>
    <col min="2" max="2" width="8.7109375" style="43" customWidth="1"/>
    <col min="3" max="3" width="20.7109375" style="43" customWidth="1"/>
    <col min="4" max="4" width="40.7109375" style="43" customWidth="1"/>
    <col min="5" max="5" width="18.7109375" style="43" customWidth="1"/>
    <col min="6" max="6" width="3" style="43" customWidth="1"/>
    <col min="7" max="16384" width="11.42578125" style="43" hidden="1"/>
  </cols>
  <sheetData>
    <row r="1" spans="1:6" s="4" customFormat="1" ht="45" customHeight="1" x14ac:dyDescent="0.2">
      <c r="A1" s="4" t="s">
        <v>143</v>
      </c>
      <c r="C1" s="3"/>
      <c r="D1" s="91" t="s">
        <v>144</v>
      </c>
      <c r="E1" s="91"/>
      <c r="F1" s="91"/>
    </row>
    <row r="2" spans="1:6" s="52" customFormat="1" ht="19.899999999999999" customHeight="1" x14ac:dyDescent="0.25">
      <c r="A2" s="74"/>
      <c r="B2" s="92" t="s">
        <v>7</v>
      </c>
      <c r="C2" s="92"/>
      <c r="D2" s="92"/>
      <c r="E2" s="92"/>
      <c r="F2" s="11"/>
    </row>
    <row r="3" spans="1:6" s="52" customFormat="1" ht="27" customHeight="1" thickBot="1" x14ac:dyDescent="0.3">
      <c r="A3" s="74"/>
      <c r="B3" s="93"/>
      <c r="C3" s="94"/>
      <c r="D3" s="94"/>
      <c r="E3" s="95"/>
      <c r="F3" s="19"/>
    </row>
    <row r="4" spans="1:6" s="52" customFormat="1" ht="19.899999999999999" customHeight="1" x14ac:dyDescent="0.25">
      <c r="A4" s="74"/>
      <c r="B4" s="92" t="s">
        <v>145</v>
      </c>
      <c r="C4" s="92"/>
      <c r="D4" s="92"/>
      <c r="E4" s="92"/>
      <c r="F4" s="11"/>
    </row>
    <row r="5" spans="1:6" s="52" customFormat="1" ht="27" customHeight="1" thickBot="1" x14ac:dyDescent="0.3">
      <c r="A5" s="74"/>
      <c r="B5" s="93"/>
      <c r="C5" s="94"/>
      <c r="D5" s="94"/>
      <c r="E5" s="95"/>
      <c r="F5" s="19"/>
    </row>
    <row r="6" spans="1:6" s="52" customFormat="1" ht="19.5" customHeight="1" x14ac:dyDescent="0.25">
      <c r="A6" s="74"/>
      <c r="B6" s="90" t="s">
        <v>11</v>
      </c>
      <c r="C6" s="90"/>
      <c r="D6" s="90"/>
      <c r="E6" s="90"/>
      <c r="F6" s="11"/>
    </row>
    <row r="7" spans="1:6" s="52" customFormat="1" ht="27" customHeight="1" thickBot="1" x14ac:dyDescent="0.3">
      <c r="A7" s="74"/>
      <c r="B7" s="99"/>
      <c r="C7" s="100"/>
      <c r="D7" s="100"/>
      <c r="E7" s="101"/>
      <c r="F7" s="19"/>
    </row>
    <row r="8" spans="1:6" s="52" customFormat="1" ht="19.5" customHeight="1" x14ac:dyDescent="0.25">
      <c r="A8" s="74"/>
      <c r="B8" s="90" t="s">
        <v>4</v>
      </c>
      <c r="C8" s="90"/>
      <c r="D8" s="90"/>
      <c r="E8" s="90"/>
      <c r="F8" s="11"/>
    </row>
    <row r="9" spans="1:6" s="52" customFormat="1" ht="27" customHeight="1" thickBot="1" x14ac:dyDescent="0.3">
      <c r="A9" s="74"/>
      <c r="B9" s="102" t="s">
        <v>167</v>
      </c>
      <c r="C9" s="103"/>
      <c r="D9" s="103"/>
      <c r="E9" s="103"/>
      <c r="F9" s="19"/>
    </row>
    <row r="10" spans="1:6" s="52" customFormat="1" ht="19.5" customHeight="1" x14ac:dyDescent="0.25">
      <c r="A10" s="74"/>
      <c r="B10" s="90" t="s">
        <v>146</v>
      </c>
      <c r="C10" s="90"/>
      <c r="D10" s="90"/>
      <c r="E10" s="90"/>
      <c r="F10" s="11"/>
    </row>
    <row r="11" spans="1:6" s="52" customFormat="1" ht="27" customHeight="1" thickBot="1" x14ac:dyDescent="0.3">
      <c r="A11" s="74"/>
      <c r="B11" s="99"/>
      <c r="C11" s="100"/>
      <c r="D11" s="100"/>
      <c r="E11" s="101"/>
      <c r="F11" s="19"/>
    </row>
    <row r="12" spans="1:6" s="52" customFormat="1" ht="19.899999999999999" customHeight="1" x14ac:dyDescent="0.25">
      <c r="A12" s="74"/>
      <c r="B12" s="90" t="s">
        <v>1</v>
      </c>
      <c r="C12" s="90"/>
      <c r="D12" s="90"/>
      <c r="E12" s="90"/>
      <c r="F12" s="11"/>
    </row>
    <row r="13" spans="1:6" s="52" customFormat="1" ht="39.75" customHeight="1" thickBot="1" x14ac:dyDescent="0.3">
      <c r="A13" s="74"/>
      <c r="B13" s="104"/>
      <c r="C13" s="105"/>
      <c r="D13" s="105"/>
      <c r="E13" s="106"/>
      <c r="F13" s="75"/>
    </row>
    <row r="14" spans="1:6" s="52" customFormat="1" ht="19.5" customHeight="1" x14ac:dyDescent="0.25">
      <c r="A14" s="74"/>
      <c r="B14" s="76"/>
      <c r="C14" s="77"/>
      <c r="D14" s="77"/>
      <c r="E14" s="77"/>
      <c r="F14" s="56"/>
    </row>
    <row r="15" spans="1:6" s="4" customFormat="1" ht="19.5" customHeight="1" x14ac:dyDescent="0.2">
      <c r="B15" s="107" t="s">
        <v>147</v>
      </c>
      <c r="C15" s="108"/>
      <c r="D15" s="108"/>
      <c r="E15" s="109"/>
      <c r="F15" s="14"/>
    </row>
    <row r="16" spans="1:6" s="4" customFormat="1" ht="19.5" customHeight="1" x14ac:dyDescent="0.2">
      <c r="B16" s="96" t="s">
        <v>148</v>
      </c>
      <c r="C16" s="97"/>
      <c r="D16" s="98"/>
      <c r="E16" s="78" cm="1">
        <f t="array" ref="E16">SUMPRODUCT(--ISNUMBER(SEARCH("ATC_",'Specific Test Cases'!B58:B255)))</f>
        <v>54</v>
      </c>
      <c r="F16" s="14"/>
    </row>
    <row r="17" spans="2:6" s="4" customFormat="1" ht="19.5" customHeight="1" x14ac:dyDescent="0.2">
      <c r="B17" s="79"/>
      <c r="C17" s="97" t="s">
        <v>163</v>
      </c>
      <c r="D17" s="98"/>
      <c r="E17" s="78" cm="1">
        <f t="array" ref="E17">SUMPRODUCT(ISNUMBER(SEARCH("ATC_", 'Specific Test Cases'!B58:B255)) * ISNUMBER(SEARCH("MU", 'Specific Test Cases'!B58:B255)))</f>
        <v>20</v>
      </c>
      <c r="F17" s="14"/>
    </row>
    <row r="18" spans="2:6" s="4" customFormat="1" ht="19.5" customHeight="1" x14ac:dyDescent="0.2">
      <c r="B18" s="80"/>
      <c r="C18" s="97" t="s">
        <v>164</v>
      </c>
      <c r="D18" s="98"/>
      <c r="E18" s="78" cm="1">
        <f t="array" ref="E18">SUMPRODUCT(ISNUMBER(SEARCH("ATC_", 'Specific Test Cases'!B58:B255)) * ISNUMBER(SEARCH("MA", 'Specific Test Cases'!B58:B255)))</f>
        <v>34</v>
      </c>
      <c r="F18" s="14"/>
    </row>
    <row r="19" spans="2:6" s="4" customFormat="1" ht="19.5" customHeight="1" x14ac:dyDescent="0.2">
      <c r="B19" s="96" t="s">
        <v>149</v>
      </c>
      <c r="C19" s="97"/>
      <c r="D19" s="98"/>
      <c r="E19" s="78" cm="1">
        <f t="array" ref="E19">SUMPRODUCT(--ISNUMBER(VALUE('Specific Test Cases'!B58:B255)))</f>
        <v>144</v>
      </c>
      <c r="F19" s="81"/>
    </row>
    <row r="20" spans="2:6" s="4" customFormat="1" ht="19.5" customHeight="1" x14ac:dyDescent="0.2">
      <c r="B20" s="79"/>
      <c r="C20" s="97" t="s">
        <v>165</v>
      </c>
      <c r="D20" s="98"/>
      <c r="E20" s="78" cm="1">
        <f t="array" ref="E20">SUMPRODUCT(--ISNUMBER(VALUE('Specific Test Cases'!B58:B127)))</f>
        <v>50</v>
      </c>
      <c r="F20" s="82"/>
    </row>
    <row r="21" spans="2:6" s="4" customFormat="1" ht="19.5" customHeight="1" x14ac:dyDescent="0.2">
      <c r="B21" s="80"/>
      <c r="C21" s="97" t="s">
        <v>166</v>
      </c>
      <c r="D21" s="98"/>
      <c r="E21" s="78" cm="1">
        <f t="array" ref="E21">SUMPRODUCT(--ISNUMBER(VALUE('Specific Test Cases'!B128:B255)))</f>
        <v>94</v>
      </c>
      <c r="F21" s="82"/>
    </row>
    <row r="22" spans="2:6" s="4" customFormat="1" ht="19.5" customHeight="1" x14ac:dyDescent="0.2">
      <c r="B22" s="110" t="s">
        <v>150</v>
      </c>
      <c r="C22" s="97"/>
      <c r="D22" s="98"/>
      <c r="E22" s="78" t="str">
        <f>TEXT(MAX('Specific Test Cases'!C58:C255)-MIN('Specific Test Cases'!C58:C255),"0") &amp; " Tage"</f>
        <v>0 Tage</v>
      </c>
      <c r="F22" s="14"/>
    </row>
    <row r="23" spans="2:6" s="4" customFormat="1" ht="19.5" customHeight="1" x14ac:dyDescent="0.2">
      <c r="B23" s="83"/>
      <c r="C23" s="83"/>
      <c r="D23" s="83"/>
      <c r="E23" s="84"/>
      <c r="F23" s="14"/>
    </row>
    <row r="24" spans="2:6" s="4" customFormat="1" ht="19.5" customHeight="1" x14ac:dyDescent="0.2">
      <c r="B24" s="107" t="s">
        <v>151</v>
      </c>
      <c r="C24" s="108"/>
      <c r="D24" s="108"/>
      <c r="E24" s="109"/>
      <c r="F24" s="14"/>
    </row>
    <row r="25" spans="2:6" ht="19.5" customHeight="1" x14ac:dyDescent="0.2">
      <c r="B25" s="110" t="s">
        <v>152</v>
      </c>
      <c r="C25" s="97"/>
      <c r="D25" s="98"/>
      <c r="E25" s="85" cm="1">
        <f t="array" ref="E25">SUMPRODUCT((('Specific Test Cases'!K58:K255="Passed")+('Specific Test Cases'!K58:K255="Failed"))*1)</f>
        <v>0</v>
      </c>
      <c r="F25" s="16"/>
    </row>
    <row r="26" spans="2:6" ht="19.5" customHeight="1" x14ac:dyDescent="0.2">
      <c r="B26" s="86"/>
      <c r="C26" s="97" t="s">
        <v>153</v>
      </c>
      <c r="D26" s="98"/>
      <c r="E26" s="87">
        <f>COUNTIF('Specific Test Cases'!K58:K255,"Passed")</f>
        <v>0</v>
      </c>
    </row>
    <row r="27" spans="2:6" ht="19.5" customHeight="1" x14ac:dyDescent="0.2">
      <c r="B27" s="111" t="s">
        <v>154</v>
      </c>
      <c r="C27" s="112"/>
      <c r="D27" s="113"/>
      <c r="E27" s="88">
        <f>IF(OR(E26=0,E25=0),0,E26/E25)</f>
        <v>0</v>
      </c>
    </row>
    <row r="28" spans="2:6" ht="19.5" customHeight="1" x14ac:dyDescent="0.2">
      <c r="B28" s="86"/>
      <c r="C28" s="97" t="s">
        <v>155</v>
      </c>
      <c r="D28" s="98"/>
      <c r="E28" s="87">
        <f>COUNTIF('Specific Test Cases'!K58:K255,"Failed")</f>
        <v>0</v>
      </c>
    </row>
    <row r="29" spans="2:6" ht="19.5" customHeight="1" x14ac:dyDescent="0.2">
      <c r="B29" s="111" t="s">
        <v>156</v>
      </c>
      <c r="C29" s="112"/>
      <c r="D29" s="113"/>
      <c r="E29" s="88">
        <f>IF(OR(E28=0,E25=0),0,E28/E25)</f>
        <v>0</v>
      </c>
    </row>
    <row r="30" spans="2:6" ht="19.5" customHeight="1" x14ac:dyDescent="0.2">
      <c r="B30" s="86"/>
      <c r="C30" s="97" t="s">
        <v>157</v>
      </c>
      <c r="D30" s="98"/>
      <c r="E30" s="87">
        <f>COUNTIF('Specific Test Cases'!K58:K255,"Not applicable")</f>
        <v>0</v>
      </c>
    </row>
    <row r="31" spans="2:6" ht="19.5" customHeight="1" x14ac:dyDescent="0.2">
      <c r="B31" s="111" t="s">
        <v>158</v>
      </c>
      <c r="C31" s="112"/>
      <c r="D31" s="113"/>
      <c r="E31" s="88">
        <f>IF(OR(E30=0,E19=0),0,E30/E19)</f>
        <v>0</v>
      </c>
    </row>
    <row r="32" spans="2:6" ht="19.5" customHeight="1" x14ac:dyDescent="0.2">
      <c r="B32" s="16"/>
      <c r="C32" s="42"/>
      <c r="D32" s="48"/>
      <c r="E32" s="89"/>
    </row>
    <row r="33" spans="2:6" ht="19.5" customHeight="1" x14ac:dyDescent="0.2">
      <c r="B33" s="107" t="s">
        <v>159</v>
      </c>
      <c r="C33" s="108"/>
      <c r="D33" s="108"/>
      <c r="E33" s="109"/>
    </row>
    <row r="34" spans="2:6" ht="24" customHeight="1" x14ac:dyDescent="0.2">
      <c r="B34" s="110" t="s">
        <v>160</v>
      </c>
      <c r="C34" s="98"/>
      <c r="D34" s="114"/>
      <c r="E34" s="115"/>
    </row>
    <row r="35" spans="2:6" ht="24" customHeight="1" x14ac:dyDescent="0.2">
      <c r="B35" s="110" t="s">
        <v>161</v>
      </c>
      <c r="C35" s="98"/>
      <c r="D35" s="116"/>
      <c r="E35" s="117"/>
      <c r="F35" s="32"/>
    </row>
    <row r="36" spans="2:6" ht="54.95" customHeight="1" x14ac:dyDescent="0.2">
      <c r="B36" s="110" t="s">
        <v>162</v>
      </c>
      <c r="C36" s="98"/>
      <c r="D36" s="114"/>
      <c r="E36" s="115"/>
    </row>
    <row r="37" spans="2:6" ht="19.5" hidden="1" customHeight="1" x14ac:dyDescent="0.2"/>
  </sheetData>
  <mergeCells count="36">
    <mergeCell ref="B34:C34"/>
    <mergeCell ref="D34:E34"/>
    <mergeCell ref="B35:C35"/>
    <mergeCell ref="D35:E35"/>
    <mergeCell ref="B36:C36"/>
    <mergeCell ref="D36:E36"/>
    <mergeCell ref="B33:E33"/>
    <mergeCell ref="C20:D20"/>
    <mergeCell ref="C21:D21"/>
    <mergeCell ref="B22:D22"/>
    <mergeCell ref="B24:E24"/>
    <mergeCell ref="B25:D25"/>
    <mergeCell ref="C26:D26"/>
    <mergeCell ref="B27:D27"/>
    <mergeCell ref="C28:D28"/>
    <mergeCell ref="B29:D29"/>
    <mergeCell ref="C30:D30"/>
    <mergeCell ref="B31:D31"/>
    <mergeCell ref="B19:D19"/>
    <mergeCell ref="B7:E7"/>
    <mergeCell ref="B8:E8"/>
    <mergeCell ref="B9:E9"/>
    <mergeCell ref="B10:E10"/>
    <mergeCell ref="B11:E11"/>
    <mergeCell ref="B12:E12"/>
    <mergeCell ref="B13:E13"/>
    <mergeCell ref="B15:E15"/>
    <mergeCell ref="B16:D16"/>
    <mergeCell ref="C17:D17"/>
    <mergeCell ref="C18:D18"/>
    <mergeCell ref="B6:E6"/>
    <mergeCell ref="D1:F1"/>
    <mergeCell ref="B2:E2"/>
    <mergeCell ref="B3:E3"/>
    <mergeCell ref="B4:E4"/>
    <mergeCell ref="B5:E5"/>
  </mergeCells>
  <dataValidations count="2">
    <dataValidation type="list" allowBlank="1" showInputMessage="1" showErrorMessage="1" sqref="B11:E11" xr:uid="{E86E0D61-A024-4A22-8E1E-C67D238AAEEA}">
      <formula1>"Monitored Unit (MU),Monitoring Appliance (MA),MU &amp; MA"</formula1>
    </dataValidation>
    <dataValidation type="list" allowBlank="1" showInputMessage="1" showErrorMessage="1" sqref="B7:E7" xr:uid="{DE7B03DA-CB83-43BA-BD00-02E76DE97078}">
      <formula1>"GCPH,EMS,EMOB,HVAC,INV,DOMA"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pageSetUpPr fitToPage="1"/>
  </sheetPr>
  <dimension ref="A1:FB1003"/>
  <sheetViews>
    <sheetView showGridLines="0" zoomScaleNormal="100" zoomScalePageLayoutView="110" workbookViewId="0"/>
  </sheetViews>
  <sheetFormatPr defaultColWidth="14.42578125" defaultRowHeight="15.75" customHeight="1" x14ac:dyDescent="0.2"/>
  <cols>
    <col min="1" max="1" width="3" customWidth="1"/>
    <col min="2" max="2" width="8.7109375" style="7" customWidth="1"/>
    <col min="3" max="4" width="20.7109375" customWidth="1"/>
    <col min="5" max="6" width="24.7109375" customWidth="1"/>
    <col min="7" max="7" width="25.7109375" customWidth="1"/>
    <col min="8" max="9" width="24.7109375" customWidth="1"/>
    <col min="10" max="11" width="20.7109375" customWidth="1"/>
    <col min="12" max="12" width="60.7109375" customWidth="1"/>
    <col min="13" max="15" width="14.42578125" customWidth="1"/>
  </cols>
  <sheetData>
    <row r="1" spans="1:158" s="2" customFormat="1" ht="45" customHeight="1" x14ac:dyDescent="0.2">
      <c r="C1" s="3"/>
      <c r="D1" s="91" t="s">
        <v>119</v>
      </c>
      <c r="E1" s="91"/>
      <c r="F1" s="91"/>
      <c r="G1" s="91"/>
      <c r="H1" s="3"/>
      <c r="I1" s="3"/>
      <c r="J1" s="3"/>
      <c r="K1" s="3"/>
      <c r="L1" s="4"/>
      <c r="M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</row>
    <row r="2" spans="1:158" ht="21.75" customHeight="1" x14ac:dyDescent="0.25">
      <c r="A2" s="5"/>
      <c r="B2" s="126" t="s">
        <v>8</v>
      </c>
      <c r="C2" s="127"/>
      <c r="D2" s="128" t="s">
        <v>10</v>
      </c>
      <c r="E2" s="129"/>
      <c r="F2" s="9"/>
      <c r="G2" s="9"/>
      <c r="H2" s="16"/>
      <c r="I2" s="16"/>
      <c r="J2" s="5"/>
      <c r="K2" s="5"/>
      <c r="L2" s="5"/>
    </row>
    <row r="3" spans="1:158" ht="19.5" customHeight="1" x14ac:dyDescent="0.25">
      <c r="A3" s="5"/>
      <c r="B3" s="22"/>
      <c r="C3" s="22"/>
      <c r="D3" s="21"/>
      <c r="E3" s="21"/>
      <c r="F3" s="9"/>
      <c r="G3" s="9"/>
      <c r="H3" s="16"/>
      <c r="I3" s="16"/>
      <c r="J3" s="5"/>
      <c r="K3" s="5"/>
      <c r="L3" s="5"/>
    </row>
    <row r="4" spans="1:158" ht="19.5" customHeight="1" x14ac:dyDescent="0.25">
      <c r="A4" s="5"/>
      <c r="B4" s="130" t="s">
        <v>29</v>
      </c>
      <c r="C4" s="131"/>
      <c r="D4" s="131"/>
      <c r="E4" s="131"/>
      <c r="F4" s="9"/>
      <c r="G4" s="9"/>
      <c r="H4" s="16"/>
      <c r="I4" s="16"/>
      <c r="J4" s="5"/>
      <c r="K4" s="5"/>
      <c r="L4" s="5"/>
    </row>
    <row r="5" spans="1:158" ht="19.5" customHeight="1" x14ac:dyDescent="0.25">
      <c r="A5" s="5"/>
      <c r="B5" s="23"/>
      <c r="C5" s="23"/>
      <c r="D5" s="28" t="s">
        <v>24</v>
      </c>
      <c r="E5" s="27" t="s">
        <v>129</v>
      </c>
      <c r="F5" s="9"/>
      <c r="G5" s="9"/>
      <c r="H5" s="16"/>
      <c r="I5" s="16"/>
      <c r="J5" s="5"/>
      <c r="K5" s="5"/>
      <c r="L5" s="5"/>
    </row>
    <row r="6" spans="1:158" ht="21.75" customHeight="1" x14ac:dyDescent="0.25">
      <c r="A6" s="5"/>
      <c r="B6" s="132" t="s">
        <v>28</v>
      </c>
      <c r="C6" s="132"/>
      <c r="D6" s="39"/>
      <c r="E6" s="25"/>
      <c r="F6" s="9"/>
      <c r="G6" s="9"/>
      <c r="H6" s="16"/>
      <c r="I6" s="16"/>
      <c r="J6" s="5"/>
      <c r="K6" s="5"/>
      <c r="L6" s="5"/>
    </row>
    <row r="7" spans="1:158" ht="21.75" customHeight="1" x14ac:dyDescent="0.25">
      <c r="A7" s="5"/>
      <c r="B7" s="132" t="s">
        <v>120</v>
      </c>
      <c r="C7" s="132"/>
      <c r="D7" s="39"/>
      <c r="E7" s="35"/>
      <c r="F7" s="9"/>
      <c r="G7" s="9"/>
      <c r="H7" s="16"/>
      <c r="I7" s="16"/>
      <c r="J7" s="5"/>
      <c r="K7" s="5"/>
      <c r="L7" s="5"/>
    </row>
    <row r="8" spans="1:158" ht="19.5" customHeight="1" x14ac:dyDescent="0.25">
      <c r="A8" s="5"/>
      <c r="B8" s="31"/>
      <c r="C8" s="31"/>
      <c r="D8" s="36"/>
      <c r="E8" s="36"/>
      <c r="F8" s="9"/>
      <c r="G8" s="9"/>
      <c r="H8" s="16"/>
      <c r="I8" s="16"/>
      <c r="J8" s="5"/>
      <c r="K8" s="5"/>
      <c r="L8" s="5"/>
    </row>
    <row r="9" spans="1:158" ht="19.5" customHeight="1" x14ac:dyDescent="0.25">
      <c r="A9" s="5"/>
      <c r="B9" s="130" t="s">
        <v>34</v>
      </c>
      <c r="C9" s="131"/>
      <c r="D9" s="133"/>
      <c r="E9" s="32"/>
      <c r="F9" s="9"/>
      <c r="G9" s="9"/>
      <c r="H9" s="16"/>
      <c r="I9" s="16"/>
      <c r="J9" s="5"/>
      <c r="K9" s="5"/>
      <c r="L9" s="5"/>
    </row>
    <row r="10" spans="1:158" ht="19.5" customHeight="1" x14ac:dyDescent="0.25">
      <c r="A10" s="5"/>
      <c r="B10" s="132" t="s">
        <v>14</v>
      </c>
      <c r="C10" s="132"/>
      <c r="D10" s="39"/>
      <c r="E10" s="36"/>
      <c r="F10" s="9"/>
      <c r="G10" s="9"/>
      <c r="H10" s="16"/>
      <c r="I10" s="16"/>
      <c r="J10" s="5"/>
      <c r="K10" s="5"/>
      <c r="L10" s="5"/>
    </row>
    <row r="11" spans="1:158" ht="19.5" customHeight="1" x14ac:dyDescent="0.25">
      <c r="A11" s="5"/>
      <c r="B11" s="132" t="s">
        <v>15</v>
      </c>
      <c r="C11" s="132"/>
      <c r="D11" s="39"/>
      <c r="E11" s="36"/>
      <c r="F11" s="9"/>
      <c r="G11" s="9"/>
      <c r="H11" s="16"/>
      <c r="I11" s="16"/>
      <c r="J11" s="5"/>
      <c r="K11" s="5"/>
      <c r="L11" s="5"/>
    </row>
    <row r="12" spans="1:158" ht="19.5" customHeight="1" x14ac:dyDescent="0.25">
      <c r="A12" s="5"/>
      <c r="B12" s="132" t="s">
        <v>16</v>
      </c>
      <c r="C12" s="132"/>
      <c r="D12" s="39"/>
      <c r="E12" s="36"/>
      <c r="F12" s="9"/>
      <c r="G12" s="9"/>
      <c r="H12" s="16"/>
      <c r="I12" s="16"/>
      <c r="J12" s="5"/>
      <c r="K12" s="5"/>
      <c r="L12" s="5"/>
    </row>
    <row r="13" spans="1:158" ht="19.5" customHeight="1" x14ac:dyDescent="0.25">
      <c r="A13" s="5"/>
      <c r="B13" s="37"/>
      <c r="C13" s="37"/>
      <c r="D13" s="36"/>
      <c r="E13" s="36"/>
      <c r="F13" s="9"/>
      <c r="G13" s="9"/>
      <c r="H13" s="16"/>
      <c r="I13" s="16"/>
      <c r="J13" s="5"/>
      <c r="K13" s="5"/>
      <c r="L13" s="5"/>
    </row>
    <row r="14" spans="1:158" ht="19.5" customHeight="1" x14ac:dyDescent="0.25">
      <c r="A14" s="5"/>
      <c r="B14" s="134" t="s">
        <v>35</v>
      </c>
      <c r="C14" s="135"/>
      <c r="D14" s="135"/>
      <c r="E14" s="36"/>
      <c r="F14" s="9"/>
      <c r="G14" s="9"/>
      <c r="H14" s="16"/>
      <c r="I14" s="16"/>
      <c r="J14" s="5"/>
      <c r="K14" s="5"/>
      <c r="L14" s="5"/>
    </row>
    <row r="15" spans="1:158" ht="19.5" customHeight="1" x14ac:dyDescent="0.25">
      <c r="A15" s="5"/>
      <c r="B15" s="119" t="s">
        <v>36</v>
      </c>
      <c r="C15" s="120"/>
      <c r="D15" s="39"/>
      <c r="E15" s="36"/>
      <c r="F15" s="9"/>
      <c r="G15" s="9"/>
      <c r="H15" s="16"/>
      <c r="I15" s="16"/>
      <c r="J15" s="5"/>
      <c r="K15" s="5"/>
      <c r="L15" s="5"/>
    </row>
    <row r="16" spans="1:158" ht="19.5" customHeight="1" x14ac:dyDescent="0.25">
      <c r="A16" s="5"/>
      <c r="B16" s="119" t="s">
        <v>42</v>
      </c>
      <c r="C16" s="120"/>
      <c r="D16" s="39"/>
      <c r="E16" s="36"/>
      <c r="F16" s="9"/>
      <c r="G16" s="9"/>
      <c r="H16" s="16"/>
      <c r="I16" s="16"/>
      <c r="J16" s="5"/>
      <c r="K16" s="5"/>
      <c r="L16" s="5"/>
    </row>
    <row r="17" spans="1:12" ht="19.5" customHeight="1" x14ac:dyDescent="0.25">
      <c r="A17" s="5"/>
      <c r="B17" s="119" t="s">
        <v>43</v>
      </c>
      <c r="C17" s="120"/>
      <c r="D17" s="39"/>
      <c r="E17" s="36"/>
      <c r="F17" s="9"/>
      <c r="G17" s="9"/>
      <c r="H17" s="16"/>
      <c r="I17" s="16"/>
      <c r="J17" s="5"/>
      <c r="K17" s="5"/>
      <c r="L17" s="5"/>
    </row>
    <row r="18" spans="1:12" ht="19.5" customHeight="1" x14ac:dyDescent="0.25">
      <c r="A18" s="5"/>
      <c r="B18" s="119" t="s">
        <v>44</v>
      </c>
      <c r="C18" s="120"/>
      <c r="D18" s="39"/>
      <c r="E18" s="36"/>
      <c r="F18" s="9"/>
      <c r="G18" s="9"/>
      <c r="H18" s="16"/>
      <c r="I18" s="16"/>
      <c r="J18" s="5"/>
      <c r="K18" s="5"/>
      <c r="L18" s="5"/>
    </row>
    <row r="19" spans="1:12" ht="19.5" customHeight="1" x14ac:dyDescent="0.25">
      <c r="A19" s="5"/>
      <c r="B19" s="119" t="s">
        <v>37</v>
      </c>
      <c r="C19" s="120"/>
      <c r="D19" s="39"/>
      <c r="E19" s="36"/>
      <c r="F19" s="9"/>
      <c r="G19" s="9"/>
      <c r="H19" s="16"/>
      <c r="I19" s="16"/>
      <c r="J19" s="5"/>
      <c r="K19" s="5"/>
      <c r="L19" s="5"/>
    </row>
    <row r="20" spans="1:12" ht="19.5" customHeight="1" x14ac:dyDescent="0.25">
      <c r="A20" s="5"/>
      <c r="B20" s="119" t="s">
        <v>38</v>
      </c>
      <c r="C20" s="120"/>
      <c r="D20" s="39"/>
      <c r="E20" s="36"/>
      <c r="F20" s="9"/>
      <c r="G20" s="9"/>
      <c r="H20" s="16"/>
      <c r="I20" s="16"/>
      <c r="J20" s="5"/>
      <c r="K20" s="5"/>
      <c r="L20" s="5"/>
    </row>
    <row r="21" spans="1:12" ht="19.5" customHeight="1" x14ac:dyDescent="0.25">
      <c r="A21" s="5"/>
      <c r="B21" s="119" t="s">
        <v>39</v>
      </c>
      <c r="C21" s="120"/>
      <c r="D21" s="39"/>
      <c r="E21" s="36"/>
      <c r="F21" s="9"/>
      <c r="G21" s="56"/>
      <c r="H21" s="16"/>
      <c r="I21" s="16"/>
      <c r="J21" s="5"/>
      <c r="K21" s="5"/>
      <c r="L21" s="5"/>
    </row>
    <row r="22" spans="1:12" ht="19.5" customHeight="1" x14ac:dyDescent="0.25">
      <c r="A22" s="5"/>
      <c r="B22" s="37"/>
      <c r="C22" s="37"/>
      <c r="D22" s="38"/>
      <c r="E22" s="36"/>
      <c r="F22" s="9"/>
      <c r="G22" s="56"/>
      <c r="H22" s="16"/>
      <c r="I22" s="16"/>
      <c r="J22" s="5"/>
      <c r="K22" s="5"/>
      <c r="L22" s="5"/>
    </row>
    <row r="23" spans="1:12" ht="19.5" customHeight="1" x14ac:dyDescent="0.25">
      <c r="A23" s="5"/>
      <c r="B23" s="33"/>
      <c r="C23" s="34"/>
      <c r="D23" s="26" t="s">
        <v>133</v>
      </c>
      <c r="E23" s="119" t="s">
        <v>134</v>
      </c>
      <c r="F23" s="125"/>
      <c r="G23" s="37"/>
      <c r="H23" s="16"/>
      <c r="I23" s="16"/>
      <c r="J23" s="5"/>
      <c r="K23" s="5"/>
      <c r="L23" s="5"/>
    </row>
    <row r="24" spans="1:12" ht="30" customHeight="1" x14ac:dyDescent="0.25">
      <c r="A24" s="5"/>
      <c r="B24" s="119" t="s">
        <v>30</v>
      </c>
      <c r="C24" s="120"/>
      <c r="D24" s="60"/>
      <c r="E24" s="24" t="s">
        <v>135</v>
      </c>
      <c r="F24" s="24" t="s">
        <v>136</v>
      </c>
      <c r="G24" s="37"/>
      <c r="H24" s="17"/>
      <c r="I24" s="17"/>
      <c r="J24" s="5"/>
      <c r="K24" s="5"/>
      <c r="L24" s="5"/>
    </row>
    <row r="25" spans="1:12" ht="21.95" customHeight="1" x14ac:dyDescent="0.25">
      <c r="A25" s="5"/>
      <c r="B25" s="121" t="s">
        <v>13</v>
      </c>
      <c r="C25" s="122"/>
      <c r="D25" s="61" t="s">
        <v>121</v>
      </c>
      <c r="E25" s="25"/>
      <c r="F25" s="25"/>
      <c r="G25" s="36"/>
      <c r="H25" s="15"/>
      <c r="I25" s="15"/>
      <c r="J25" s="5"/>
      <c r="K25" s="5"/>
      <c r="L25" s="5"/>
    </row>
    <row r="26" spans="1:12" ht="21.95" customHeight="1" x14ac:dyDescent="0.25">
      <c r="A26" s="5"/>
      <c r="B26" s="123"/>
      <c r="C26" s="124"/>
      <c r="D26" s="61" t="s">
        <v>122</v>
      </c>
      <c r="E26" s="25"/>
      <c r="F26" s="25"/>
      <c r="G26" s="36"/>
      <c r="H26" s="15"/>
      <c r="I26" s="15"/>
      <c r="J26" s="5"/>
      <c r="K26" s="5"/>
      <c r="L26" s="5"/>
    </row>
    <row r="27" spans="1:12" ht="30" customHeight="1" x14ac:dyDescent="0.25">
      <c r="A27" s="5"/>
      <c r="B27" s="119" t="s">
        <v>45</v>
      </c>
      <c r="C27" s="120"/>
      <c r="D27" s="60"/>
      <c r="E27" s="24" t="s">
        <v>135</v>
      </c>
      <c r="F27" s="24" t="s">
        <v>136</v>
      </c>
      <c r="G27" s="37"/>
      <c r="H27" s="17"/>
      <c r="I27" s="17"/>
      <c r="J27" s="5"/>
      <c r="K27" s="5"/>
      <c r="L27" s="5"/>
    </row>
    <row r="28" spans="1:12" ht="21.95" customHeight="1" x14ac:dyDescent="0.25">
      <c r="A28" s="5"/>
      <c r="B28" s="121" t="s">
        <v>14</v>
      </c>
      <c r="C28" s="122"/>
      <c r="D28" s="61" t="s">
        <v>121</v>
      </c>
      <c r="E28" s="25"/>
      <c r="F28" s="25"/>
      <c r="G28" s="36"/>
      <c r="H28" s="15"/>
      <c r="I28" s="15"/>
      <c r="J28" s="5"/>
      <c r="K28" s="5"/>
      <c r="L28" s="5"/>
    </row>
    <row r="29" spans="1:12" ht="21.95" customHeight="1" x14ac:dyDescent="0.25">
      <c r="A29" s="5"/>
      <c r="B29" s="123"/>
      <c r="C29" s="124"/>
      <c r="D29" s="61" t="s">
        <v>122</v>
      </c>
      <c r="E29" s="25"/>
      <c r="F29" s="25"/>
      <c r="G29" s="36"/>
      <c r="H29" s="15"/>
      <c r="I29" s="15"/>
      <c r="J29" s="5"/>
      <c r="K29" s="5"/>
      <c r="L29" s="5"/>
    </row>
    <row r="30" spans="1:12" ht="21.95" customHeight="1" x14ac:dyDescent="0.25">
      <c r="A30" s="5"/>
      <c r="B30" s="121" t="s">
        <v>15</v>
      </c>
      <c r="C30" s="122"/>
      <c r="D30" s="61" t="s">
        <v>121</v>
      </c>
      <c r="E30" s="25"/>
      <c r="F30" s="25"/>
      <c r="G30" s="36"/>
      <c r="H30" s="15"/>
      <c r="I30" s="15"/>
      <c r="J30" s="5"/>
      <c r="K30" s="5"/>
      <c r="L30" s="5"/>
    </row>
    <row r="31" spans="1:12" ht="21.95" customHeight="1" x14ac:dyDescent="0.25">
      <c r="A31" s="5"/>
      <c r="B31" s="123"/>
      <c r="C31" s="124"/>
      <c r="D31" s="61" t="s">
        <v>122</v>
      </c>
      <c r="E31" s="25"/>
      <c r="F31" s="25"/>
      <c r="G31" s="36"/>
      <c r="H31" s="15"/>
      <c r="I31" s="15"/>
      <c r="J31" s="5"/>
      <c r="K31" s="5"/>
      <c r="L31" s="5"/>
    </row>
    <row r="32" spans="1:12" ht="21.95" customHeight="1" x14ac:dyDescent="0.25">
      <c r="A32" s="5"/>
      <c r="B32" s="121" t="s">
        <v>16</v>
      </c>
      <c r="C32" s="122"/>
      <c r="D32" s="61" t="s">
        <v>121</v>
      </c>
      <c r="E32" s="25"/>
      <c r="F32" s="25"/>
      <c r="G32" s="36"/>
      <c r="H32" s="15"/>
      <c r="I32" s="15"/>
      <c r="J32" s="5"/>
      <c r="K32" s="5"/>
      <c r="L32" s="5"/>
    </row>
    <row r="33" spans="1:12" ht="21.95" customHeight="1" x14ac:dyDescent="0.25">
      <c r="A33" s="5"/>
      <c r="B33" s="123"/>
      <c r="C33" s="124"/>
      <c r="D33" s="61" t="s">
        <v>122</v>
      </c>
      <c r="E33" s="25"/>
      <c r="F33" s="25"/>
      <c r="G33" s="36"/>
      <c r="H33" s="15"/>
      <c r="I33" s="15"/>
      <c r="J33" s="5"/>
      <c r="K33" s="5"/>
      <c r="L33" s="5"/>
    </row>
    <row r="34" spans="1:12" ht="30" customHeight="1" x14ac:dyDescent="0.25">
      <c r="A34" s="5"/>
      <c r="B34" s="119" t="s">
        <v>46</v>
      </c>
      <c r="C34" s="120"/>
      <c r="D34" s="60"/>
      <c r="E34" s="24" t="s">
        <v>135</v>
      </c>
      <c r="F34" s="24" t="s">
        <v>136</v>
      </c>
      <c r="G34" s="37"/>
      <c r="H34" s="17"/>
      <c r="I34" s="17"/>
      <c r="J34" s="5"/>
      <c r="K34" s="5"/>
      <c r="L34" s="5"/>
    </row>
    <row r="35" spans="1:12" ht="21.95" customHeight="1" x14ac:dyDescent="0.25">
      <c r="A35" s="5"/>
      <c r="B35" s="121" t="s">
        <v>49</v>
      </c>
      <c r="C35" s="122"/>
      <c r="D35" s="61" t="s">
        <v>121</v>
      </c>
      <c r="E35" s="25"/>
      <c r="F35" s="25"/>
      <c r="G35" s="36"/>
      <c r="H35" s="15"/>
      <c r="I35" s="15"/>
      <c r="J35" s="5"/>
      <c r="K35" s="5"/>
      <c r="L35" s="5"/>
    </row>
    <row r="36" spans="1:12" ht="21.95" customHeight="1" x14ac:dyDescent="0.25">
      <c r="A36" s="5"/>
      <c r="B36" s="123"/>
      <c r="C36" s="124"/>
      <c r="D36" s="61" t="s">
        <v>122</v>
      </c>
      <c r="E36" s="61" t="str">
        <f>IF(E39="","",E39)</f>
        <v/>
      </c>
      <c r="F36" s="61" t="str">
        <f>IF(F39="","",F39)</f>
        <v/>
      </c>
      <c r="G36" s="36"/>
      <c r="H36" s="15"/>
      <c r="I36" s="15"/>
      <c r="J36" s="5"/>
      <c r="K36" s="5"/>
      <c r="L36" s="5"/>
    </row>
    <row r="37" spans="1:12" ht="30" customHeight="1" x14ac:dyDescent="0.25">
      <c r="A37" s="5"/>
      <c r="B37" s="119" t="s">
        <v>47</v>
      </c>
      <c r="C37" s="120"/>
      <c r="D37" s="60"/>
      <c r="E37" s="24" t="s">
        <v>135</v>
      </c>
      <c r="F37" s="24" t="s">
        <v>136</v>
      </c>
      <c r="G37" s="37"/>
      <c r="H37" s="17"/>
      <c r="I37" s="17"/>
      <c r="J37" s="5"/>
      <c r="K37" s="5"/>
      <c r="L37" s="5"/>
    </row>
    <row r="38" spans="1:12" ht="21.95" customHeight="1" x14ac:dyDescent="0.25">
      <c r="A38" s="5"/>
      <c r="B38" s="121" t="s">
        <v>48</v>
      </c>
      <c r="C38" s="122"/>
      <c r="D38" s="61" t="s">
        <v>121</v>
      </c>
      <c r="E38" s="61" t="str">
        <f>IF(E35="","",E35)</f>
        <v/>
      </c>
      <c r="F38" s="61" t="str">
        <f>IF(F35="","",F35)</f>
        <v/>
      </c>
      <c r="G38" s="36"/>
      <c r="H38" s="15"/>
      <c r="I38" s="15"/>
      <c r="J38" s="5"/>
      <c r="K38" s="5"/>
      <c r="L38" s="5"/>
    </row>
    <row r="39" spans="1:12" ht="21.95" customHeight="1" x14ac:dyDescent="0.25">
      <c r="A39" s="5"/>
      <c r="B39" s="123"/>
      <c r="C39" s="124"/>
      <c r="D39" s="61" t="s">
        <v>122</v>
      </c>
      <c r="E39" s="25"/>
      <c r="F39" s="25"/>
      <c r="G39" s="36"/>
      <c r="H39" s="15"/>
      <c r="I39" s="15"/>
      <c r="J39" s="5"/>
      <c r="K39" s="5"/>
      <c r="L39" s="5"/>
    </row>
    <row r="40" spans="1:12" ht="30" customHeight="1" x14ac:dyDescent="0.25">
      <c r="A40" s="5"/>
      <c r="B40" s="119" t="s">
        <v>31</v>
      </c>
      <c r="C40" s="120"/>
      <c r="D40" s="60"/>
      <c r="E40" s="24" t="s">
        <v>135</v>
      </c>
      <c r="F40" s="24" t="s">
        <v>136</v>
      </c>
      <c r="G40" s="37"/>
      <c r="H40" s="17"/>
      <c r="I40" s="17"/>
      <c r="J40" s="5"/>
      <c r="K40" s="5"/>
      <c r="L40" s="5"/>
    </row>
    <row r="41" spans="1:12" ht="20.100000000000001" customHeight="1" x14ac:dyDescent="0.25">
      <c r="A41" s="5"/>
      <c r="B41" s="121" t="s">
        <v>14</v>
      </c>
      <c r="C41" s="122"/>
      <c r="D41" s="61" t="s">
        <v>121</v>
      </c>
      <c r="E41" s="25"/>
      <c r="F41" s="25"/>
      <c r="G41" s="36"/>
      <c r="H41" s="17"/>
      <c r="I41" s="17"/>
      <c r="J41" s="5"/>
      <c r="K41" s="5"/>
      <c r="L41" s="5"/>
    </row>
    <row r="42" spans="1:12" ht="20.100000000000001" customHeight="1" x14ac:dyDescent="0.25">
      <c r="A42" s="5"/>
      <c r="B42" s="123"/>
      <c r="C42" s="124"/>
      <c r="D42" s="61" t="s">
        <v>122</v>
      </c>
      <c r="E42" s="25"/>
      <c r="F42" s="25"/>
      <c r="G42" s="36"/>
      <c r="H42" s="17"/>
      <c r="I42" s="17"/>
      <c r="J42" s="5"/>
      <c r="K42" s="5"/>
      <c r="L42" s="5"/>
    </row>
    <row r="43" spans="1:12" ht="20.100000000000001" customHeight="1" x14ac:dyDescent="0.25">
      <c r="A43" s="5"/>
      <c r="B43" s="121" t="s">
        <v>15</v>
      </c>
      <c r="C43" s="122"/>
      <c r="D43" s="61" t="s">
        <v>121</v>
      </c>
      <c r="E43" s="25"/>
      <c r="F43" s="25"/>
      <c r="G43" s="36"/>
      <c r="H43" s="17"/>
      <c r="I43" s="17"/>
      <c r="J43" s="5"/>
      <c r="K43" s="5"/>
      <c r="L43" s="5"/>
    </row>
    <row r="44" spans="1:12" ht="20.100000000000001" customHeight="1" x14ac:dyDescent="0.25">
      <c r="A44" s="5"/>
      <c r="B44" s="123"/>
      <c r="C44" s="124"/>
      <c r="D44" s="61" t="s">
        <v>122</v>
      </c>
      <c r="E44" s="25"/>
      <c r="F44" s="25"/>
      <c r="G44" s="36"/>
      <c r="H44" s="17"/>
      <c r="I44" s="17"/>
      <c r="J44" s="5"/>
      <c r="K44" s="5"/>
      <c r="L44" s="5"/>
    </row>
    <row r="45" spans="1:12" ht="20.100000000000001" customHeight="1" x14ac:dyDescent="0.25">
      <c r="A45" s="5"/>
      <c r="B45" s="121" t="s">
        <v>16</v>
      </c>
      <c r="C45" s="122"/>
      <c r="D45" s="61" t="s">
        <v>121</v>
      </c>
      <c r="E45" s="25"/>
      <c r="F45" s="25"/>
      <c r="G45" s="36"/>
      <c r="H45" s="17"/>
      <c r="I45" s="17"/>
      <c r="J45" s="5"/>
      <c r="K45" s="5"/>
      <c r="L45" s="5"/>
    </row>
    <row r="46" spans="1:12" ht="20.100000000000001" customHeight="1" x14ac:dyDescent="0.25">
      <c r="A46" s="5"/>
      <c r="B46" s="123"/>
      <c r="C46" s="124"/>
      <c r="D46" s="61" t="s">
        <v>122</v>
      </c>
      <c r="E46" s="25"/>
      <c r="F46" s="25"/>
      <c r="G46" s="36"/>
      <c r="H46" s="17"/>
      <c r="I46" s="17"/>
      <c r="J46" s="5"/>
      <c r="K46" s="5"/>
      <c r="L46" s="5"/>
    </row>
    <row r="47" spans="1:12" ht="30" customHeight="1" x14ac:dyDescent="0.25">
      <c r="A47" s="5"/>
      <c r="B47" s="119" t="s">
        <v>139</v>
      </c>
      <c r="C47" s="120"/>
      <c r="D47" s="60"/>
      <c r="E47" s="24" t="s">
        <v>135</v>
      </c>
      <c r="F47" s="24" t="s">
        <v>136</v>
      </c>
      <c r="G47" s="37"/>
      <c r="H47" s="17"/>
      <c r="I47" s="17"/>
      <c r="J47" s="5"/>
      <c r="K47" s="5"/>
      <c r="L47" s="5"/>
    </row>
    <row r="48" spans="1:12" ht="20.100000000000001" customHeight="1" x14ac:dyDescent="0.25">
      <c r="A48" s="5"/>
      <c r="B48" s="119" t="s">
        <v>22</v>
      </c>
      <c r="C48" s="120"/>
      <c r="D48" s="62" t="s">
        <v>138</v>
      </c>
      <c r="E48" s="25"/>
      <c r="F48" s="25"/>
      <c r="G48" s="36"/>
      <c r="H48" s="17"/>
      <c r="I48" s="17"/>
      <c r="J48" s="5"/>
      <c r="K48" s="5"/>
      <c r="L48" s="5"/>
    </row>
    <row r="49" spans="1:12" ht="20.100000000000001" customHeight="1" x14ac:dyDescent="0.25">
      <c r="A49" s="5"/>
      <c r="B49" s="119" t="s">
        <v>21</v>
      </c>
      <c r="C49" s="120"/>
      <c r="D49" s="62" t="s">
        <v>138</v>
      </c>
      <c r="E49" s="25"/>
      <c r="F49" s="25"/>
      <c r="G49" s="36"/>
      <c r="H49" s="17"/>
      <c r="I49" s="17"/>
      <c r="J49" s="5"/>
      <c r="K49" s="5"/>
      <c r="L49" s="5"/>
    </row>
    <row r="50" spans="1:12" ht="20.100000000000001" customHeight="1" x14ac:dyDescent="0.25">
      <c r="A50" s="5"/>
      <c r="B50" s="119" t="s">
        <v>19</v>
      </c>
      <c r="C50" s="120"/>
      <c r="D50" s="62" t="s">
        <v>138</v>
      </c>
      <c r="E50" s="25"/>
      <c r="F50" s="25"/>
      <c r="G50" s="36"/>
      <c r="H50" s="17"/>
      <c r="I50" s="17"/>
      <c r="J50" s="5"/>
      <c r="K50" s="5"/>
      <c r="L50" s="5"/>
    </row>
    <row r="51" spans="1:12" ht="20.100000000000001" customHeight="1" x14ac:dyDescent="0.25">
      <c r="A51" s="5"/>
      <c r="B51" s="119" t="s">
        <v>20</v>
      </c>
      <c r="C51" s="120"/>
      <c r="D51" s="62" t="s">
        <v>138</v>
      </c>
      <c r="E51" s="25"/>
      <c r="F51" s="25"/>
      <c r="G51" s="36"/>
      <c r="H51" s="29"/>
      <c r="I51" s="29"/>
      <c r="J51" s="5"/>
      <c r="K51" s="5"/>
      <c r="L51" s="5"/>
    </row>
    <row r="52" spans="1:12" ht="20.100000000000001" customHeight="1" x14ac:dyDescent="0.25">
      <c r="A52" s="5"/>
      <c r="B52" s="119" t="s">
        <v>18</v>
      </c>
      <c r="C52" s="120"/>
      <c r="D52" s="62" t="s">
        <v>138</v>
      </c>
      <c r="E52" s="25"/>
      <c r="F52" s="25"/>
      <c r="G52" s="36"/>
      <c r="H52" s="29"/>
      <c r="I52" s="29"/>
      <c r="J52" s="5"/>
      <c r="K52" s="5"/>
      <c r="L52" s="5"/>
    </row>
    <row r="53" spans="1:12" ht="20.100000000000001" customHeight="1" x14ac:dyDescent="0.25">
      <c r="A53" s="5"/>
      <c r="B53" s="119" t="s">
        <v>17</v>
      </c>
      <c r="C53" s="120"/>
      <c r="D53" s="62" t="s">
        <v>138</v>
      </c>
      <c r="E53" s="25"/>
      <c r="F53" s="25"/>
      <c r="G53" s="36"/>
      <c r="H53" s="17"/>
      <c r="I53" s="17"/>
      <c r="J53" s="5"/>
      <c r="K53" s="5"/>
      <c r="L53" s="5"/>
    </row>
    <row r="54" spans="1:12" ht="30" customHeight="1" x14ac:dyDescent="0.25">
      <c r="A54" s="5"/>
      <c r="B54" s="119" t="s">
        <v>32</v>
      </c>
      <c r="C54" s="120"/>
      <c r="D54" s="60"/>
      <c r="E54" s="24" t="s">
        <v>135</v>
      </c>
      <c r="F54" s="24" t="s">
        <v>136</v>
      </c>
      <c r="G54" s="37"/>
      <c r="H54" s="17"/>
      <c r="K54" s="5"/>
      <c r="L54" s="5"/>
    </row>
    <row r="55" spans="1:12" ht="20.100000000000001" customHeight="1" x14ac:dyDescent="0.25">
      <c r="A55" s="5"/>
      <c r="B55" s="119" t="s">
        <v>23</v>
      </c>
      <c r="C55" s="120"/>
      <c r="D55" s="62" t="s">
        <v>138</v>
      </c>
      <c r="E55" s="25"/>
      <c r="F55" s="25"/>
      <c r="G55" s="36"/>
      <c r="H55" s="17"/>
      <c r="I55" s="17"/>
      <c r="J55" s="5"/>
      <c r="K55" s="5"/>
      <c r="L55" s="5"/>
    </row>
    <row r="56" spans="1:12" ht="30" customHeight="1" x14ac:dyDescent="0.25">
      <c r="A56" s="5"/>
      <c r="B56" s="20"/>
      <c r="C56" s="10"/>
      <c r="D56" s="10"/>
      <c r="E56" s="10"/>
      <c r="F56" s="10"/>
      <c r="G56" s="10"/>
      <c r="H56" s="10"/>
      <c r="I56" s="10"/>
      <c r="J56" s="5"/>
      <c r="K56" s="5"/>
      <c r="L56" s="5"/>
    </row>
    <row r="57" spans="1:12" s="65" customFormat="1" ht="39" customHeight="1" x14ac:dyDescent="0.2">
      <c r="A57" s="1"/>
      <c r="B57" s="63" t="s">
        <v>6</v>
      </c>
      <c r="C57" s="28" t="s">
        <v>5</v>
      </c>
      <c r="D57" s="28" t="s">
        <v>12</v>
      </c>
      <c r="E57" s="60" t="s">
        <v>137</v>
      </c>
      <c r="F57" s="136" t="s">
        <v>33</v>
      </c>
      <c r="G57" s="136"/>
      <c r="H57" s="60" t="s">
        <v>117</v>
      </c>
      <c r="I57" s="28" t="s">
        <v>29</v>
      </c>
      <c r="J57" s="28" t="s">
        <v>118</v>
      </c>
      <c r="K57" s="60" t="s">
        <v>9</v>
      </c>
      <c r="L57" s="60" t="s">
        <v>3</v>
      </c>
    </row>
    <row r="58" spans="1:12" s="65" customFormat="1" ht="22.15" customHeight="1" x14ac:dyDescent="0.2">
      <c r="A58" s="66"/>
      <c r="B58" s="118" t="s">
        <v>50</v>
      </c>
      <c r="C58" s="118"/>
      <c r="D58" s="118"/>
      <c r="E58" s="118"/>
      <c r="F58" s="118"/>
      <c r="G58" s="118"/>
      <c r="H58" s="118"/>
      <c r="I58" s="118"/>
      <c r="J58" s="118"/>
      <c r="K58" s="118"/>
      <c r="L58" s="118"/>
    </row>
    <row r="59" spans="1:12" s="71" customFormat="1" ht="22.15" customHeight="1" x14ac:dyDescent="0.2">
      <c r="A59" s="67"/>
      <c r="B59" s="68">
        <v>1</v>
      </c>
      <c r="C59" s="69"/>
      <c r="D59" s="68">
        <v>1</v>
      </c>
      <c r="E59" s="58" t="s">
        <v>25</v>
      </c>
      <c r="F59" s="18"/>
      <c r="G59" s="18"/>
      <c r="H59" s="18"/>
      <c r="I59" s="58" t="str">
        <f>IF(AND(EXACT(D6,"Yes"),ISTEXT(D6)),B6,"")</f>
        <v/>
      </c>
      <c r="J59" s="58" t="str">
        <f>IF(AND(EXACT(D6,"Yes"),ISTEXT(D6)),E6,"")</f>
        <v/>
      </c>
      <c r="K59" s="18"/>
      <c r="L59" s="70"/>
    </row>
    <row r="60" spans="1:12" s="65" customFormat="1" ht="22.15" customHeight="1" x14ac:dyDescent="0.2">
      <c r="A60" s="66"/>
      <c r="B60" s="118" t="s">
        <v>51</v>
      </c>
      <c r="C60" s="118"/>
      <c r="D60" s="118"/>
      <c r="E60" s="118"/>
      <c r="F60" s="118"/>
      <c r="G60" s="118"/>
      <c r="H60" s="118"/>
      <c r="I60" s="118"/>
      <c r="J60" s="118"/>
      <c r="K60" s="118"/>
      <c r="L60" s="118"/>
    </row>
    <row r="61" spans="1:12" s="71" customFormat="1" ht="22.15" customHeight="1" x14ac:dyDescent="0.2">
      <c r="A61" s="67"/>
      <c r="B61" s="68">
        <v>1</v>
      </c>
      <c r="C61" s="69"/>
      <c r="D61" s="68">
        <v>1</v>
      </c>
      <c r="E61" s="58" t="s">
        <v>25</v>
      </c>
      <c r="F61" s="18"/>
      <c r="G61" s="18"/>
      <c r="H61" s="18"/>
      <c r="I61" s="58" t="str">
        <f>IF(AND(EXACT(D7,"Yes"),ISTEXT(D7)),B7,"")</f>
        <v/>
      </c>
      <c r="J61" s="58"/>
      <c r="K61" s="18"/>
      <c r="L61" s="70"/>
    </row>
    <row r="62" spans="1:12" s="65" customFormat="1" ht="22.15" customHeight="1" x14ac:dyDescent="0.2">
      <c r="A62" s="66"/>
      <c r="B62" s="118" t="s">
        <v>52</v>
      </c>
      <c r="C62" s="118"/>
      <c r="D62" s="118"/>
      <c r="E62" s="118"/>
      <c r="F62" s="118"/>
      <c r="G62" s="118"/>
      <c r="H62" s="118"/>
      <c r="I62" s="118"/>
      <c r="J62" s="118"/>
      <c r="K62" s="118"/>
      <c r="L62" s="118"/>
    </row>
    <row r="63" spans="1:12" s="71" customFormat="1" ht="22.15" customHeight="1" x14ac:dyDescent="0.2">
      <c r="A63" s="67"/>
      <c r="B63" s="72" t="s">
        <v>123</v>
      </c>
      <c r="C63" s="69"/>
      <c r="D63" s="68">
        <v>1</v>
      </c>
      <c r="E63" s="58" t="s">
        <v>25</v>
      </c>
      <c r="F63" s="57" t="str">
        <f>IF(B25="","",B25)</f>
        <v>Power total</v>
      </c>
      <c r="G63" s="64"/>
      <c r="H63" s="58" t="str">
        <f>IF(D25="","",D25)</f>
        <v>consume</v>
      </c>
      <c r="I63" s="58" t="str">
        <f>IF(AND(EXACT(D6,"Yes"),ISTEXT(D6)),B6,"")</f>
        <v/>
      </c>
      <c r="J63" s="58" t="str">
        <f>IF(AND(EXACT(D6,"Yes"),ISTEXT(D6)),E6,"")</f>
        <v/>
      </c>
      <c r="K63" s="18"/>
      <c r="L63" s="70"/>
    </row>
    <row r="64" spans="1:12" s="71" customFormat="1" ht="22.15" customHeight="1" x14ac:dyDescent="0.2">
      <c r="A64" s="67"/>
      <c r="B64" s="72" t="s">
        <v>124</v>
      </c>
      <c r="C64" s="69"/>
      <c r="D64" s="68">
        <v>2</v>
      </c>
      <c r="E64" s="58" t="s">
        <v>25</v>
      </c>
      <c r="F64" s="57" t="str">
        <f>IF(B25="","",B25)</f>
        <v>Power total</v>
      </c>
      <c r="G64" s="64"/>
      <c r="H64" s="58" t="str">
        <f>IF(D25="","",D25)</f>
        <v>consume</v>
      </c>
      <c r="I64" s="58" t="str">
        <f>IF(AND(EXACT(D7,"Yes"),ISTEXT(D7)),B7,"")</f>
        <v/>
      </c>
      <c r="J64" s="58"/>
      <c r="K64" s="18"/>
      <c r="L64" s="70"/>
    </row>
    <row r="65" spans="1:12" s="71" customFormat="1" ht="22.15" customHeight="1" x14ac:dyDescent="0.2">
      <c r="A65" s="67"/>
      <c r="B65" s="72" t="s">
        <v>125</v>
      </c>
      <c r="C65" s="69"/>
      <c r="D65" s="68">
        <v>1</v>
      </c>
      <c r="E65" s="58" t="s">
        <v>25</v>
      </c>
      <c r="F65" s="57" t="str">
        <f>IF(B25="","",B25)</f>
        <v>Power total</v>
      </c>
      <c r="G65" s="64"/>
      <c r="H65" s="58" t="str">
        <f>IF(D26="","",D26)</f>
        <v>produce</v>
      </c>
      <c r="I65" s="58" t="str">
        <f>IF(AND(EXACT(D6,"Yes"),ISTEXT(D6)),B6,"")</f>
        <v/>
      </c>
      <c r="J65" s="58" t="str">
        <f>IF(AND(EXACT(D6,"Yes"),ISTEXT(D6)),E6,"")</f>
        <v/>
      </c>
      <c r="K65" s="18"/>
      <c r="L65" s="70"/>
    </row>
    <row r="66" spans="1:12" s="71" customFormat="1" ht="22.15" customHeight="1" x14ac:dyDescent="0.2">
      <c r="A66" s="67"/>
      <c r="B66" s="72" t="s">
        <v>126</v>
      </c>
      <c r="C66" s="69"/>
      <c r="D66" s="68">
        <v>2</v>
      </c>
      <c r="E66" s="58" t="s">
        <v>25</v>
      </c>
      <c r="F66" s="57" t="str">
        <f>IF(B25="","",B25)</f>
        <v>Power total</v>
      </c>
      <c r="G66" s="64"/>
      <c r="H66" s="58" t="str">
        <f>IF(D26="","",D26)</f>
        <v>produce</v>
      </c>
      <c r="I66" s="58" t="str">
        <f>IF(AND(EXACT(D7,"Yes"),ISTEXT(D7)),B7,"")</f>
        <v/>
      </c>
      <c r="J66" s="58"/>
      <c r="K66" s="18"/>
      <c r="L66" s="70"/>
    </row>
    <row r="67" spans="1:12" s="65" customFormat="1" ht="22.15" customHeight="1" x14ac:dyDescent="0.2">
      <c r="A67" s="66"/>
      <c r="B67" s="118" t="s">
        <v>53</v>
      </c>
      <c r="C67" s="118"/>
      <c r="D67" s="118"/>
      <c r="E67" s="118"/>
      <c r="F67" s="118"/>
      <c r="G67" s="118"/>
      <c r="H67" s="118"/>
      <c r="I67" s="118"/>
      <c r="J67" s="118"/>
      <c r="K67" s="118"/>
      <c r="L67" s="118"/>
    </row>
    <row r="68" spans="1:12" s="71" customFormat="1" ht="22.15" customHeight="1" x14ac:dyDescent="0.2">
      <c r="A68" s="67"/>
      <c r="B68" s="72" t="s">
        <v>123</v>
      </c>
      <c r="C68" s="69"/>
      <c r="D68" s="68">
        <v>1</v>
      </c>
      <c r="E68" s="58" t="s">
        <v>25</v>
      </c>
      <c r="F68" s="57" t="str">
        <f>IF(B28="","",B28)</f>
        <v>Phase A</v>
      </c>
      <c r="G68" s="64"/>
      <c r="H68" s="58" t="str">
        <f>IF(D28="","",D28)</f>
        <v>consume</v>
      </c>
      <c r="I68" s="58" t="str">
        <f>IF(AND(EXACT(D6,"Yes"),ISTEXT(D6)),B6,"")</f>
        <v/>
      </c>
      <c r="J68" s="58" t="str">
        <f>IF(AND(EXACT(D6,"Yes"),ISTEXT(D6)),E6,"")</f>
        <v/>
      </c>
      <c r="K68" s="18"/>
      <c r="L68" s="70"/>
    </row>
    <row r="69" spans="1:12" s="71" customFormat="1" ht="22.15" customHeight="1" x14ac:dyDescent="0.2">
      <c r="A69" s="67"/>
      <c r="B69" s="72" t="s">
        <v>124</v>
      </c>
      <c r="C69" s="69"/>
      <c r="D69" s="68">
        <v>2</v>
      </c>
      <c r="E69" s="58" t="s">
        <v>25</v>
      </c>
      <c r="F69" s="57" t="str">
        <f>IF(B28="","",B28)</f>
        <v>Phase A</v>
      </c>
      <c r="G69" s="64"/>
      <c r="H69" s="58" t="str">
        <f>IF(D28="","",D28)</f>
        <v>consume</v>
      </c>
      <c r="I69" s="58" t="str">
        <f>IF(AND(EXACT(D7,"Yes"),ISTEXT(D7)),B7,"")</f>
        <v/>
      </c>
      <c r="J69" s="58"/>
      <c r="K69" s="18"/>
      <c r="L69" s="70"/>
    </row>
    <row r="70" spans="1:12" s="71" customFormat="1" ht="22.15" customHeight="1" x14ac:dyDescent="0.2">
      <c r="A70" s="67"/>
      <c r="B70" s="72" t="s">
        <v>125</v>
      </c>
      <c r="C70" s="69"/>
      <c r="D70" s="68">
        <v>1</v>
      </c>
      <c r="E70" s="58" t="s">
        <v>25</v>
      </c>
      <c r="F70" s="57" t="str">
        <f>IF(B28="","",B28)</f>
        <v>Phase A</v>
      </c>
      <c r="G70" s="64"/>
      <c r="H70" s="58" t="str">
        <f>IF(D29="","",D29)</f>
        <v>produce</v>
      </c>
      <c r="I70" s="58" t="str">
        <f>IF(AND(EXACT(D6,"Yes"),ISTEXT(D6)),B6,"")</f>
        <v/>
      </c>
      <c r="J70" s="58" t="str">
        <f>IF(AND(EXACT(D6,"Yes"),ISTEXT(D6)),E6,"")</f>
        <v/>
      </c>
      <c r="K70" s="18"/>
      <c r="L70" s="70"/>
    </row>
    <row r="71" spans="1:12" s="71" customFormat="1" ht="22.15" customHeight="1" x14ac:dyDescent="0.2">
      <c r="A71" s="67"/>
      <c r="B71" s="72" t="s">
        <v>126</v>
      </c>
      <c r="C71" s="69"/>
      <c r="D71" s="68">
        <v>2</v>
      </c>
      <c r="E71" s="58" t="s">
        <v>25</v>
      </c>
      <c r="F71" s="57" t="str">
        <f>IF(B28="","",B28)</f>
        <v>Phase A</v>
      </c>
      <c r="G71" s="64"/>
      <c r="H71" s="58" t="str">
        <f>IF(D29="","",D29)</f>
        <v>produce</v>
      </c>
      <c r="I71" s="58" t="str">
        <f>IF(AND(EXACT(D7,"Yes"),ISTEXT(D7)),B7,"")</f>
        <v/>
      </c>
      <c r="J71" s="58"/>
      <c r="K71" s="18"/>
      <c r="L71" s="70"/>
    </row>
    <row r="72" spans="1:12" s="65" customFormat="1" ht="22.15" customHeight="1" x14ac:dyDescent="0.2">
      <c r="A72" s="66"/>
      <c r="B72" s="118" t="s">
        <v>54</v>
      </c>
      <c r="C72" s="118"/>
      <c r="D72" s="118"/>
      <c r="E72" s="118"/>
      <c r="F72" s="118"/>
      <c r="G72" s="118"/>
      <c r="H72" s="118"/>
      <c r="I72" s="118"/>
      <c r="J72" s="118"/>
      <c r="K72" s="118"/>
      <c r="L72" s="118"/>
    </row>
    <row r="73" spans="1:12" s="71" customFormat="1" ht="22.15" customHeight="1" x14ac:dyDescent="0.2">
      <c r="A73" s="67"/>
      <c r="B73" s="72" t="s">
        <v>123</v>
      </c>
      <c r="C73" s="69"/>
      <c r="D73" s="68">
        <v>1</v>
      </c>
      <c r="E73" s="58" t="s">
        <v>25</v>
      </c>
      <c r="F73" s="57" t="str">
        <f>IF(B30="","",B30)</f>
        <v>Phase B</v>
      </c>
      <c r="G73" s="64"/>
      <c r="H73" s="58" t="str">
        <f>IF(D30="","",D30)</f>
        <v>consume</v>
      </c>
      <c r="I73" s="58" t="str">
        <f>IF(AND(EXACT(D6,"Yes"),ISTEXT(D6)),B6,"")</f>
        <v/>
      </c>
      <c r="J73" s="58" t="str">
        <f>IF(AND(EXACT(D6,"Yes"),ISTEXT(D6)),E6,"")</f>
        <v/>
      </c>
      <c r="K73" s="18"/>
      <c r="L73" s="70"/>
    </row>
    <row r="74" spans="1:12" s="71" customFormat="1" ht="22.15" customHeight="1" x14ac:dyDescent="0.2">
      <c r="A74" s="67"/>
      <c r="B74" s="72" t="s">
        <v>124</v>
      </c>
      <c r="C74" s="69"/>
      <c r="D74" s="68">
        <v>2</v>
      </c>
      <c r="E74" s="58" t="s">
        <v>25</v>
      </c>
      <c r="F74" s="57" t="str">
        <f>IF(B30="","",B30)</f>
        <v>Phase B</v>
      </c>
      <c r="G74" s="64"/>
      <c r="H74" s="58" t="str">
        <f>IF(D30="","",D30)</f>
        <v>consume</v>
      </c>
      <c r="I74" s="58" t="str">
        <f>IF(AND(EXACT(D7,"Yes"),ISTEXT(D7)),B7,"")</f>
        <v/>
      </c>
      <c r="J74" s="58"/>
      <c r="K74" s="18"/>
      <c r="L74" s="70"/>
    </row>
    <row r="75" spans="1:12" s="71" customFormat="1" ht="22.15" customHeight="1" x14ac:dyDescent="0.2">
      <c r="A75" s="67"/>
      <c r="B75" s="72" t="s">
        <v>125</v>
      </c>
      <c r="C75" s="69"/>
      <c r="D75" s="68">
        <v>1</v>
      </c>
      <c r="E75" s="58" t="s">
        <v>25</v>
      </c>
      <c r="F75" s="57" t="str">
        <f>IF(B30="","",B30)</f>
        <v>Phase B</v>
      </c>
      <c r="G75" s="64"/>
      <c r="H75" s="58" t="str">
        <f>IF(D31="","",D31)</f>
        <v>produce</v>
      </c>
      <c r="I75" s="58" t="str">
        <f>IF(AND(EXACT(D6,"Yes"),ISTEXT(D6)),B6,"")</f>
        <v/>
      </c>
      <c r="J75" s="58" t="str">
        <f>IF(AND(EXACT(D6,"Yes"),ISTEXT(D6)),E6,"")</f>
        <v/>
      </c>
      <c r="K75" s="18"/>
      <c r="L75" s="70"/>
    </row>
    <row r="76" spans="1:12" s="71" customFormat="1" ht="22.15" customHeight="1" x14ac:dyDescent="0.2">
      <c r="A76" s="67"/>
      <c r="B76" s="72" t="s">
        <v>126</v>
      </c>
      <c r="C76" s="69"/>
      <c r="D76" s="68">
        <v>2</v>
      </c>
      <c r="E76" s="58" t="s">
        <v>25</v>
      </c>
      <c r="F76" s="57" t="str">
        <f>IF(B30="","",B30)</f>
        <v>Phase B</v>
      </c>
      <c r="G76" s="64"/>
      <c r="H76" s="58" t="str">
        <f>IF(D31="","",D31)</f>
        <v>produce</v>
      </c>
      <c r="I76" s="58" t="str">
        <f>IF(AND(EXACT(D7,"Yes"),ISTEXT(D7)),B7,"")</f>
        <v/>
      </c>
      <c r="J76" s="58"/>
      <c r="K76" s="18"/>
      <c r="L76" s="70"/>
    </row>
    <row r="77" spans="1:12" s="65" customFormat="1" ht="22.15" customHeight="1" x14ac:dyDescent="0.2">
      <c r="A77" s="66"/>
      <c r="B77" s="118" t="s">
        <v>55</v>
      </c>
      <c r="C77" s="118"/>
      <c r="D77" s="118"/>
      <c r="E77" s="118"/>
      <c r="F77" s="118"/>
      <c r="G77" s="118"/>
      <c r="H77" s="118"/>
      <c r="I77" s="118"/>
      <c r="J77" s="118"/>
      <c r="K77" s="118"/>
      <c r="L77" s="118"/>
    </row>
    <row r="78" spans="1:12" s="71" customFormat="1" ht="22.15" customHeight="1" x14ac:dyDescent="0.2">
      <c r="A78" s="67"/>
      <c r="B78" s="72" t="s">
        <v>123</v>
      </c>
      <c r="C78" s="69"/>
      <c r="D78" s="68">
        <v>1</v>
      </c>
      <c r="E78" s="58" t="s">
        <v>25</v>
      </c>
      <c r="F78" s="57" t="str">
        <f>IF(B32="","",B32)</f>
        <v>Phase C</v>
      </c>
      <c r="G78" s="64"/>
      <c r="H78" s="58" t="str">
        <f>IF(D32="","",D32)</f>
        <v>consume</v>
      </c>
      <c r="I78" s="58" t="str">
        <f>IF(AND(EXACT(D6,"Yes"),ISTEXT(D6)),B6,"")</f>
        <v/>
      </c>
      <c r="J78" s="58" t="str">
        <f>IF(AND(EXACT(D6,"Yes"),ISTEXT(D6)),E6,"")</f>
        <v/>
      </c>
      <c r="K78" s="18"/>
      <c r="L78" s="70"/>
    </row>
    <row r="79" spans="1:12" s="71" customFormat="1" ht="22.15" customHeight="1" x14ac:dyDescent="0.2">
      <c r="A79" s="67"/>
      <c r="B79" s="72" t="s">
        <v>124</v>
      </c>
      <c r="C79" s="69"/>
      <c r="D79" s="68">
        <v>2</v>
      </c>
      <c r="E79" s="58" t="s">
        <v>25</v>
      </c>
      <c r="F79" s="57" t="str">
        <f>IF(B32="","",B32)</f>
        <v>Phase C</v>
      </c>
      <c r="G79" s="64"/>
      <c r="H79" s="58" t="str">
        <f>IF(D32="","",D32)</f>
        <v>consume</v>
      </c>
      <c r="I79" s="58" t="str">
        <f>IF(AND(EXACT(D7,"Yes"),ISTEXT(D7)),B7,"")</f>
        <v/>
      </c>
      <c r="J79" s="58"/>
      <c r="K79" s="18"/>
      <c r="L79" s="70"/>
    </row>
    <row r="80" spans="1:12" s="71" customFormat="1" ht="22.15" customHeight="1" x14ac:dyDescent="0.2">
      <c r="A80" s="67"/>
      <c r="B80" s="72" t="s">
        <v>125</v>
      </c>
      <c r="C80" s="69"/>
      <c r="D80" s="68">
        <v>1</v>
      </c>
      <c r="E80" s="58" t="s">
        <v>25</v>
      </c>
      <c r="F80" s="57" t="str">
        <f>IF(B32="","",B32)</f>
        <v>Phase C</v>
      </c>
      <c r="G80" s="64"/>
      <c r="H80" s="58" t="str">
        <f>IF(D33="","",D33)</f>
        <v>produce</v>
      </c>
      <c r="I80" s="58" t="str">
        <f>IF(AND(EXACT(D6,"Yes"),ISTEXT(D6)),B6,"")</f>
        <v/>
      </c>
      <c r="J80" s="58" t="str">
        <f>IF(AND(EXACT(D6,"Yes"),ISTEXT(D6)),E6,"")</f>
        <v/>
      </c>
      <c r="K80" s="18"/>
      <c r="L80" s="70"/>
    </row>
    <row r="81" spans="1:12" s="71" customFormat="1" ht="22.15" customHeight="1" x14ac:dyDescent="0.2">
      <c r="A81" s="67"/>
      <c r="B81" s="72" t="s">
        <v>126</v>
      </c>
      <c r="C81" s="69"/>
      <c r="D81" s="68">
        <v>2</v>
      </c>
      <c r="E81" s="58" t="s">
        <v>25</v>
      </c>
      <c r="F81" s="57" t="str">
        <f>IF(B32="","",B32)</f>
        <v>Phase C</v>
      </c>
      <c r="G81" s="64"/>
      <c r="H81" s="58" t="str">
        <f>IF(D33="","",D33)</f>
        <v>produce</v>
      </c>
      <c r="I81" s="58" t="str">
        <f>IF(AND(EXACT(D7,"Yes"),ISTEXT(D7)),B7,"")</f>
        <v/>
      </c>
      <c r="J81" s="58"/>
      <c r="K81" s="18"/>
      <c r="L81" s="70"/>
    </row>
    <row r="82" spans="1:12" s="65" customFormat="1" ht="22.15" customHeight="1" x14ac:dyDescent="0.2">
      <c r="A82" s="66"/>
      <c r="B82" s="118" t="s">
        <v>56</v>
      </c>
      <c r="C82" s="118"/>
      <c r="D82" s="118"/>
      <c r="E82" s="118"/>
      <c r="F82" s="118"/>
      <c r="G82" s="118"/>
      <c r="H82" s="118"/>
      <c r="I82" s="118"/>
      <c r="J82" s="118"/>
      <c r="K82" s="118"/>
      <c r="L82" s="118"/>
    </row>
    <row r="83" spans="1:12" s="71" customFormat="1" ht="22.15" customHeight="1" x14ac:dyDescent="0.2">
      <c r="A83" s="67"/>
      <c r="B83" s="72" t="s">
        <v>123</v>
      </c>
      <c r="C83" s="69"/>
      <c r="D83" s="68">
        <v>1</v>
      </c>
      <c r="E83" s="58" t="s">
        <v>25</v>
      </c>
      <c r="F83" s="57" t="str">
        <f>IF(B35="","",B35)</f>
        <v>Total consumed energy</v>
      </c>
      <c r="G83" s="64"/>
      <c r="H83" s="58" t="str">
        <f>IF(D35="","",D35)</f>
        <v>consume</v>
      </c>
      <c r="I83" s="58" t="str">
        <f>IF(AND(EXACT(D6,"Yes"),ISTEXT(D6)),B6,"")</f>
        <v/>
      </c>
      <c r="J83" s="58" t="str">
        <f>IF(AND(EXACT(D6,"Yes"),ISTEXT(D6)),E6,"")</f>
        <v/>
      </c>
      <c r="K83" s="18"/>
      <c r="L83" s="70"/>
    </row>
    <row r="84" spans="1:12" s="71" customFormat="1" ht="22.15" customHeight="1" x14ac:dyDescent="0.2">
      <c r="A84" s="67"/>
      <c r="B84" s="72" t="s">
        <v>124</v>
      </c>
      <c r="C84" s="69"/>
      <c r="D84" s="68">
        <v>2</v>
      </c>
      <c r="E84" s="58" t="s">
        <v>25</v>
      </c>
      <c r="F84" s="57" t="str">
        <f>IF(B35="","",B35)</f>
        <v>Total consumed energy</v>
      </c>
      <c r="G84" s="64"/>
      <c r="H84" s="58" t="str">
        <f>IF(D35="","",D35)</f>
        <v>consume</v>
      </c>
      <c r="I84" s="58" t="str">
        <f>IF(AND(EXACT(D7,"Yes"),ISTEXT(D7)),B7,"")</f>
        <v/>
      </c>
      <c r="J84" s="58"/>
      <c r="K84" s="18"/>
      <c r="L84" s="70"/>
    </row>
    <row r="85" spans="1:12" s="65" customFormat="1" ht="22.15" customHeight="1" x14ac:dyDescent="0.2">
      <c r="A85" s="66"/>
      <c r="B85" s="118" t="s">
        <v>57</v>
      </c>
      <c r="C85" s="118"/>
      <c r="D85" s="118"/>
      <c r="E85" s="118"/>
      <c r="F85" s="118"/>
      <c r="G85" s="118"/>
      <c r="H85" s="118"/>
      <c r="I85" s="118"/>
      <c r="J85" s="118"/>
      <c r="K85" s="118"/>
      <c r="L85" s="118"/>
    </row>
    <row r="86" spans="1:12" s="71" customFormat="1" ht="22.15" customHeight="1" x14ac:dyDescent="0.2">
      <c r="A86" s="67"/>
      <c r="B86" s="68">
        <v>1</v>
      </c>
      <c r="C86" s="69"/>
      <c r="D86" s="68">
        <v>1</v>
      </c>
      <c r="E86" s="58" t="s">
        <v>25</v>
      </c>
      <c r="F86" s="58" t="str">
        <f>IF(B35="","",B35)</f>
        <v>Total consumed energy</v>
      </c>
      <c r="G86" s="64"/>
      <c r="H86" s="58" t="str">
        <f>IF(D36="","",D36)</f>
        <v>produce</v>
      </c>
      <c r="I86" s="58" t="str">
        <f>IF(AND(EXACT(D6,"Yes"),ISTEXT(D6)),B6,"")</f>
        <v/>
      </c>
      <c r="J86" s="58" t="str">
        <f>IF(AND(EXACT(D6,"Yes"),ISTEXT(D6)),E6,"")</f>
        <v/>
      </c>
      <c r="K86" s="18"/>
      <c r="L86" s="70"/>
    </row>
    <row r="87" spans="1:12" s="65" customFormat="1" ht="22.15" customHeight="1" x14ac:dyDescent="0.2">
      <c r="A87" s="66"/>
      <c r="B87" s="118" t="s">
        <v>58</v>
      </c>
      <c r="C87" s="118"/>
      <c r="D87" s="118"/>
      <c r="E87" s="118"/>
      <c r="F87" s="118"/>
      <c r="G87" s="118"/>
      <c r="H87" s="118"/>
      <c r="I87" s="118"/>
      <c r="J87" s="118"/>
      <c r="K87" s="118"/>
      <c r="L87" s="118"/>
    </row>
    <row r="88" spans="1:12" s="71" customFormat="1" ht="22.15" customHeight="1" x14ac:dyDescent="0.2">
      <c r="A88" s="67"/>
      <c r="B88" s="68">
        <v>1</v>
      </c>
      <c r="C88" s="69"/>
      <c r="D88" s="68">
        <v>1</v>
      </c>
      <c r="E88" s="58" t="s">
        <v>25</v>
      </c>
      <c r="F88" s="58" t="str">
        <f>IF(B38="","",B38)</f>
        <v>Total produced energy</v>
      </c>
      <c r="G88" s="64"/>
      <c r="H88" s="58" t="str">
        <f>IF(D38="","",D38)</f>
        <v>consume</v>
      </c>
      <c r="I88" s="58" t="str">
        <f>IF(AND(EXACT(D6,"Yes"),ISTEXT(D6)),B6,"")</f>
        <v/>
      </c>
      <c r="J88" s="58" t="str">
        <f>IF(AND(EXACT(D6,"Yes"),ISTEXT(D6)),E6,"")</f>
        <v/>
      </c>
      <c r="K88" s="18"/>
      <c r="L88" s="70"/>
    </row>
    <row r="89" spans="1:12" s="65" customFormat="1" ht="22.15" customHeight="1" x14ac:dyDescent="0.2">
      <c r="A89" s="66"/>
      <c r="B89" s="118" t="s">
        <v>59</v>
      </c>
      <c r="C89" s="118"/>
      <c r="D89" s="118"/>
      <c r="E89" s="118"/>
      <c r="F89" s="118"/>
      <c r="G89" s="118"/>
      <c r="H89" s="118"/>
      <c r="I89" s="118"/>
      <c r="J89" s="118"/>
      <c r="K89" s="118"/>
      <c r="L89" s="118"/>
    </row>
    <row r="90" spans="1:12" s="71" customFormat="1" ht="22.15" customHeight="1" x14ac:dyDescent="0.2">
      <c r="A90" s="67"/>
      <c r="B90" s="72" t="s">
        <v>123</v>
      </c>
      <c r="C90" s="69"/>
      <c r="D90" s="68">
        <v>1</v>
      </c>
      <c r="E90" s="58" t="s">
        <v>25</v>
      </c>
      <c r="F90" s="58" t="str">
        <f>IF(B38="","",B38)</f>
        <v>Total produced energy</v>
      </c>
      <c r="G90" s="64"/>
      <c r="H90" s="58" t="str">
        <f>IF(D39="","",D39)</f>
        <v>produce</v>
      </c>
      <c r="I90" s="58" t="str">
        <f>IF(AND(EXACT(D6,"Yes"),ISTEXT(D6)),B6,"")</f>
        <v/>
      </c>
      <c r="J90" s="58" t="str">
        <f>IF(AND(EXACT(D6,"Yes"),ISTEXT(D6)),E6,"")</f>
        <v/>
      </c>
      <c r="K90" s="18"/>
      <c r="L90" s="70"/>
    </row>
    <row r="91" spans="1:12" s="71" customFormat="1" ht="22.15" customHeight="1" x14ac:dyDescent="0.2">
      <c r="A91" s="67"/>
      <c r="B91" s="72" t="s">
        <v>124</v>
      </c>
      <c r="C91" s="69"/>
      <c r="D91" s="68">
        <v>2</v>
      </c>
      <c r="E91" s="58" t="s">
        <v>25</v>
      </c>
      <c r="F91" s="58" t="str">
        <f>IF(B38="","",B38)</f>
        <v>Total produced energy</v>
      </c>
      <c r="G91" s="64"/>
      <c r="H91" s="58" t="str">
        <f>IF(D39="","",D39)</f>
        <v>produce</v>
      </c>
      <c r="I91" s="58" t="str">
        <f>IF(AND(EXACT(D7,"Yes"),ISTEXT(D7)),B7,"")</f>
        <v/>
      </c>
      <c r="J91" s="58"/>
      <c r="K91" s="18"/>
      <c r="L91" s="70"/>
    </row>
    <row r="92" spans="1:12" s="65" customFormat="1" ht="22.15" customHeight="1" x14ac:dyDescent="0.2">
      <c r="A92" s="66"/>
      <c r="B92" s="118" t="s">
        <v>60</v>
      </c>
      <c r="C92" s="118"/>
      <c r="D92" s="118"/>
      <c r="E92" s="118"/>
      <c r="F92" s="118"/>
      <c r="G92" s="118"/>
      <c r="H92" s="118"/>
      <c r="I92" s="118"/>
      <c r="J92" s="118"/>
      <c r="K92" s="118"/>
      <c r="L92" s="118"/>
    </row>
    <row r="93" spans="1:12" s="71" customFormat="1" ht="22.15" customHeight="1" x14ac:dyDescent="0.2">
      <c r="A93" s="67"/>
      <c r="B93" s="72" t="s">
        <v>123</v>
      </c>
      <c r="C93" s="69"/>
      <c r="D93" s="68">
        <v>1</v>
      </c>
      <c r="E93" s="58" t="s">
        <v>25</v>
      </c>
      <c r="F93" s="57" t="str">
        <f>IF(B41="","",B41)</f>
        <v>Phase A</v>
      </c>
      <c r="G93" s="64"/>
      <c r="H93" s="58" t="str">
        <f>IF(D41="","",D41)</f>
        <v>consume</v>
      </c>
      <c r="I93" s="58" t="str">
        <f>IF(AND(EXACT(D6,"Yes"),ISTEXT(D6)),B6,"")</f>
        <v/>
      </c>
      <c r="J93" s="58" t="str">
        <f>IF(AND(EXACT(D6,"Yes"),ISTEXT(D6)),E6,"")</f>
        <v/>
      </c>
      <c r="K93" s="18"/>
      <c r="L93" s="70"/>
    </row>
    <row r="94" spans="1:12" s="71" customFormat="1" ht="22.15" customHeight="1" x14ac:dyDescent="0.2">
      <c r="A94" s="67"/>
      <c r="B94" s="72" t="s">
        <v>124</v>
      </c>
      <c r="C94" s="69"/>
      <c r="D94" s="68">
        <v>2</v>
      </c>
      <c r="E94" s="58" t="s">
        <v>25</v>
      </c>
      <c r="F94" s="57" t="str">
        <f>IF(B41="","",B41)</f>
        <v>Phase A</v>
      </c>
      <c r="G94" s="64"/>
      <c r="H94" s="58" t="str">
        <f>IF(D41="","",D41)</f>
        <v>consume</v>
      </c>
      <c r="I94" s="58" t="str">
        <f>IF(AND(EXACT(D7,"Yes"),ISTEXT(D7)),B7,"")</f>
        <v/>
      </c>
      <c r="J94" s="58"/>
      <c r="K94" s="18"/>
      <c r="L94" s="70"/>
    </row>
    <row r="95" spans="1:12" s="71" customFormat="1" ht="22.15" customHeight="1" x14ac:dyDescent="0.2">
      <c r="A95" s="67"/>
      <c r="B95" s="72" t="s">
        <v>125</v>
      </c>
      <c r="C95" s="69"/>
      <c r="D95" s="68">
        <v>1</v>
      </c>
      <c r="E95" s="58" t="s">
        <v>25</v>
      </c>
      <c r="F95" s="57" t="str">
        <f>IF(B41="","",B41)</f>
        <v>Phase A</v>
      </c>
      <c r="G95" s="64"/>
      <c r="H95" s="58" t="str">
        <f>IF(D42="","",D42)</f>
        <v>produce</v>
      </c>
      <c r="I95" s="58" t="str">
        <f>IF(AND(EXACT(D6,"Yes"),ISTEXT(D6)),B6,"")</f>
        <v/>
      </c>
      <c r="J95" s="58" t="str">
        <f>IF(AND(EXACT(D6,"Yes"),ISTEXT(D6)),E6,"")</f>
        <v/>
      </c>
      <c r="K95" s="18"/>
      <c r="L95" s="70"/>
    </row>
    <row r="96" spans="1:12" s="71" customFormat="1" ht="22.15" customHeight="1" x14ac:dyDescent="0.2">
      <c r="A96" s="67"/>
      <c r="B96" s="72" t="s">
        <v>126</v>
      </c>
      <c r="C96" s="69"/>
      <c r="D96" s="68">
        <v>2</v>
      </c>
      <c r="E96" s="58" t="s">
        <v>25</v>
      </c>
      <c r="F96" s="57" t="str">
        <f>IF(B41="","",B41)</f>
        <v>Phase A</v>
      </c>
      <c r="G96" s="64"/>
      <c r="H96" s="58" t="str">
        <f>IF(D42="","",D42)</f>
        <v>produce</v>
      </c>
      <c r="I96" s="58" t="str">
        <f>IF(AND(EXACT(D7,"Yes"),ISTEXT(D7)),B7,"")</f>
        <v/>
      </c>
      <c r="J96" s="58"/>
      <c r="K96" s="18"/>
      <c r="L96" s="70"/>
    </row>
    <row r="97" spans="1:12" s="65" customFormat="1" ht="22.15" customHeight="1" x14ac:dyDescent="0.2">
      <c r="A97" s="66"/>
      <c r="B97" s="118" t="s">
        <v>61</v>
      </c>
      <c r="C97" s="118"/>
      <c r="D97" s="118"/>
      <c r="E97" s="118"/>
      <c r="F97" s="118"/>
      <c r="G97" s="118"/>
      <c r="H97" s="118"/>
      <c r="I97" s="118"/>
      <c r="J97" s="118"/>
      <c r="K97" s="118"/>
      <c r="L97" s="118"/>
    </row>
    <row r="98" spans="1:12" s="71" customFormat="1" ht="22.15" customHeight="1" x14ac:dyDescent="0.2">
      <c r="A98" s="67"/>
      <c r="B98" s="72" t="s">
        <v>123</v>
      </c>
      <c r="C98" s="69"/>
      <c r="D98" s="68">
        <v>1</v>
      </c>
      <c r="E98" s="58" t="s">
        <v>25</v>
      </c>
      <c r="F98" s="57" t="str">
        <f>IF(B43="","",B43)</f>
        <v>Phase B</v>
      </c>
      <c r="G98" s="64"/>
      <c r="H98" s="58" t="str">
        <f>IF(D43="","",D43)</f>
        <v>consume</v>
      </c>
      <c r="I98" s="58" t="str">
        <f>IF(AND(EXACT(D6,"Yes"),ISTEXT(D6)),B6,"")</f>
        <v/>
      </c>
      <c r="J98" s="58" t="str">
        <f>IF(AND(EXACT(D6,"Yes"),ISTEXT(D6)),E6,"")</f>
        <v/>
      </c>
      <c r="K98" s="18"/>
      <c r="L98" s="70"/>
    </row>
    <row r="99" spans="1:12" s="71" customFormat="1" ht="22.15" customHeight="1" x14ac:dyDescent="0.2">
      <c r="A99" s="67"/>
      <c r="B99" s="72" t="s">
        <v>124</v>
      </c>
      <c r="C99" s="69"/>
      <c r="D99" s="68">
        <v>2</v>
      </c>
      <c r="E99" s="58" t="s">
        <v>25</v>
      </c>
      <c r="F99" s="57" t="str">
        <f>IF(B43="","",B43)</f>
        <v>Phase B</v>
      </c>
      <c r="G99" s="64"/>
      <c r="H99" s="58" t="str">
        <f>IF(D43="","",D43)</f>
        <v>consume</v>
      </c>
      <c r="I99" s="58" t="str">
        <f>IF(AND(EXACT(D7,"Yes"),ISTEXT(D7)),B7,"")</f>
        <v/>
      </c>
      <c r="J99" s="58"/>
      <c r="K99" s="18"/>
      <c r="L99" s="70"/>
    </row>
    <row r="100" spans="1:12" s="71" customFormat="1" ht="22.15" customHeight="1" x14ac:dyDescent="0.2">
      <c r="A100" s="67"/>
      <c r="B100" s="72" t="s">
        <v>125</v>
      </c>
      <c r="C100" s="69"/>
      <c r="D100" s="68">
        <v>1</v>
      </c>
      <c r="E100" s="58" t="s">
        <v>25</v>
      </c>
      <c r="F100" s="57" t="str">
        <f>IF(B43="","",B43)</f>
        <v>Phase B</v>
      </c>
      <c r="G100" s="64"/>
      <c r="H100" s="58" t="str">
        <f>IF(D44="","",D44)</f>
        <v>produce</v>
      </c>
      <c r="I100" s="58" t="str">
        <f>IF(AND(EXACT(D6,"Yes"),ISTEXT(D6)),B6,"")</f>
        <v/>
      </c>
      <c r="J100" s="58" t="str">
        <f>IF(AND(EXACT(D6,"Yes"),ISTEXT(D6)),E6,"")</f>
        <v/>
      </c>
      <c r="K100" s="18"/>
      <c r="L100" s="70"/>
    </row>
    <row r="101" spans="1:12" s="71" customFormat="1" ht="22.15" customHeight="1" x14ac:dyDescent="0.2">
      <c r="A101" s="67"/>
      <c r="B101" s="72" t="s">
        <v>126</v>
      </c>
      <c r="C101" s="69"/>
      <c r="D101" s="68">
        <v>2</v>
      </c>
      <c r="E101" s="58" t="s">
        <v>25</v>
      </c>
      <c r="F101" s="57" t="str">
        <f>IF(B43="","",B43)</f>
        <v>Phase B</v>
      </c>
      <c r="G101" s="64"/>
      <c r="H101" s="58" t="str">
        <f>IF(D44="","",D44)</f>
        <v>produce</v>
      </c>
      <c r="I101" s="58" t="str">
        <f>IF(AND(EXACT(D7,"Yes"),ISTEXT(D7)),B7,"")</f>
        <v/>
      </c>
      <c r="J101" s="58"/>
      <c r="K101" s="18"/>
      <c r="L101" s="70"/>
    </row>
    <row r="102" spans="1:12" s="65" customFormat="1" ht="22.15" customHeight="1" x14ac:dyDescent="0.2">
      <c r="A102" s="66"/>
      <c r="B102" s="118" t="s">
        <v>62</v>
      </c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</row>
    <row r="103" spans="1:12" s="71" customFormat="1" ht="22.15" customHeight="1" x14ac:dyDescent="0.2">
      <c r="A103" s="67"/>
      <c r="B103" s="72" t="s">
        <v>123</v>
      </c>
      <c r="C103" s="69"/>
      <c r="D103" s="68">
        <v>1</v>
      </c>
      <c r="E103" s="58" t="s">
        <v>25</v>
      </c>
      <c r="F103" s="57" t="str">
        <f>IF(B45="","",B45)</f>
        <v>Phase C</v>
      </c>
      <c r="G103" s="64"/>
      <c r="H103" s="58" t="str">
        <f>IF(D45="","",D45)</f>
        <v>consume</v>
      </c>
      <c r="I103" s="58" t="str">
        <f>IF(AND(EXACT(D6,"Yes"),ISTEXT(D6)),B6,"")</f>
        <v/>
      </c>
      <c r="J103" s="58" t="str">
        <f>IF(AND(EXACT(D6,"Yes"),ISTEXT(D6)),E6,"")</f>
        <v/>
      </c>
      <c r="K103" s="18"/>
      <c r="L103" s="70"/>
    </row>
    <row r="104" spans="1:12" s="71" customFormat="1" ht="22.15" customHeight="1" x14ac:dyDescent="0.2">
      <c r="A104" s="67"/>
      <c r="B104" s="72" t="s">
        <v>124</v>
      </c>
      <c r="C104" s="69"/>
      <c r="D104" s="68">
        <v>2</v>
      </c>
      <c r="E104" s="58" t="s">
        <v>25</v>
      </c>
      <c r="F104" s="57" t="str">
        <f>IF(B45="","",B45)</f>
        <v>Phase C</v>
      </c>
      <c r="G104" s="64"/>
      <c r="H104" s="58" t="str">
        <f>IF(D45="","",D45)</f>
        <v>consume</v>
      </c>
      <c r="I104" s="58" t="str">
        <f>IF(AND(EXACT(D7,"Yes"),ISTEXT(D7)),B7,"")</f>
        <v/>
      </c>
      <c r="J104" s="58"/>
      <c r="K104" s="18"/>
      <c r="L104" s="70"/>
    </row>
    <row r="105" spans="1:12" s="71" customFormat="1" ht="22.15" customHeight="1" x14ac:dyDescent="0.2">
      <c r="A105" s="67"/>
      <c r="B105" s="72" t="s">
        <v>125</v>
      </c>
      <c r="C105" s="69"/>
      <c r="D105" s="68">
        <v>1</v>
      </c>
      <c r="E105" s="58" t="s">
        <v>25</v>
      </c>
      <c r="F105" s="57" t="str">
        <f>IF(B45="","",B45)</f>
        <v>Phase C</v>
      </c>
      <c r="G105" s="64"/>
      <c r="H105" s="58" t="str">
        <f>IF(D46="","",D46)</f>
        <v>produce</v>
      </c>
      <c r="I105" s="58" t="str">
        <f>IF(AND(EXACT(D6,"Yes"),ISTEXT(D6)),B6,"")</f>
        <v/>
      </c>
      <c r="J105" s="58" t="str">
        <f>IF(AND(EXACT(D6,"Yes"),ISTEXT(D6)),E6,"")</f>
        <v/>
      </c>
      <c r="K105" s="18"/>
      <c r="L105" s="70"/>
    </row>
    <row r="106" spans="1:12" s="71" customFormat="1" ht="22.15" customHeight="1" x14ac:dyDescent="0.2">
      <c r="A106" s="67"/>
      <c r="B106" s="72" t="s">
        <v>126</v>
      </c>
      <c r="C106" s="69"/>
      <c r="D106" s="68">
        <v>2</v>
      </c>
      <c r="E106" s="58" t="s">
        <v>25</v>
      </c>
      <c r="F106" s="57" t="str">
        <f>IF(B45="","",B45)</f>
        <v>Phase C</v>
      </c>
      <c r="G106" s="64"/>
      <c r="H106" s="58" t="str">
        <f>IF(D46="","",D46)</f>
        <v>produce</v>
      </c>
      <c r="I106" s="58" t="str">
        <f>IF(AND(EXACT(D7,"Yes"),ISTEXT(D7)),B7,"")</f>
        <v/>
      </c>
      <c r="J106" s="58"/>
      <c r="K106" s="18"/>
      <c r="L106" s="70"/>
    </row>
    <row r="107" spans="1:12" s="65" customFormat="1" ht="22.15" customHeight="1" x14ac:dyDescent="0.2">
      <c r="A107" s="66"/>
      <c r="B107" s="118" t="s">
        <v>63</v>
      </c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</row>
    <row r="108" spans="1:12" s="71" customFormat="1" ht="22.15" customHeight="1" x14ac:dyDescent="0.2">
      <c r="A108" s="67"/>
      <c r="B108" s="72" t="s">
        <v>123</v>
      </c>
      <c r="C108" s="69"/>
      <c r="D108" s="68">
        <v>1</v>
      </c>
      <c r="E108" s="58" t="s">
        <v>25</v>
      </c>
      <c r="F108" s="58" t="str">
        <f>IF(B48="","",B48)</f>
        <v>Phase A / neutral</v>
      </c>
      <c r="G108" s="18"/>
      <c r="H108" s="58" t="str">
        <f>IF(D48="","",D48)</f>
        <v>any</v>
      </c>
      <c r="I108" s="58" t="str">
        <f>IF(AND(EXACT(D6,"Yes"),ISTEXT(D6)),B6,"")</f>
        <v/>
      </c>
      <c r="J108" s="58" t="str">
        <f>IF(AND(EXACT(D6,"Yes"),ISTEXT(D6)),E6,"")</f>
        <v/>
      </c>
      <c r="K108" s="18"/>
      <c r="L108" s="70"/>
    </row>
    <row r="109" spans="1:12" s="71" customFormat="1" ht="22.15" customHeight="1" x14ac:dyDescent="0.2">
      <c r="A109" s="67"/>
      <c r="B109" s="72" t="s">
        <v>124</v>
      </c>
      <c r="C109" s="69"/>
      <c r="D109" s="68">
        <v>2</v>
      </c>
      <c r="E109" s="58" t="s">
        <v>25</v>
      </c>
      <c r="F109" s="58" t="str">
        <f>IF(B48="","",B48)</f>
        <v>Phase A / neutral</v>
      </c>
      <c r="G109" s="18"/>
      <c r="H109" s="58" t="str">
        <f>IF(D48="","",D48)</f>
        <v>any</v>
      </c>
      <c r="I109" s="58" t="str">
        <f>IF(AND(EXACT(D7,"Yes"),ISTEXT(D7)),B7,"")</f>
        <v/>
      </c>
      <c r="J109" s="58"/>
      <c r="K109" s="18"/>
      <c r="L109" s="70"/>
    </row>
    <row r="110" spans="1:12" s="65" customFormat="1" ht="22.15" customHeight="1" x14ac:dyDescent="0.2">
      <c r="A110" s="66"/>
      <c r="B110" s="118" t="s">
        <v>64</v>
      </c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</row>
    <row r="111" spans="1:12" s="71" customFormat="1" ht="22.15" customHeight="1" x14ac:dyDescent="0.2">
      <c r="A111" s="67"/>
      <c r="B111" s="72" t="s">
        <v>123</v>
      </c>
      <c r="C111" s="69"/>
      <c r="D111" s="68">
        <v>1</v>
      </c>
      <c r="E111" s="58" t="s">
        <v>25</v>
      </c>
      <c r="F111" s="58" t="str">
        <f>IF(B49="","",B49)</f>
        <v>Phase B / neutral</v>
      </c>
      <c r="G111" s="18"/>
      <c r="H111" s="58" t="str">
        <f>IF(D49="","",D49)</f>
        <v>any</v>
      </c>
      <c r="I111" s="58" t="str">
        <f>IF(AND(EXACT(D6,"Yes"),ISTEXT(D6)),B6,"")</f>
        <v/>
      </c>
      <c r="J111" s="58" t="str">
        <f>IF(AND(EXACT(D6,"Yes"),ISTEXT(D6)),E6,"")</f>
        <v/>
      </c>
      <c r="K111" s="18"/>
      <c r="L111" s="70"/>
    </row>
    <row r="112" spans="1:12" s="71" customFormat="1" ht="22.15" customHeight="1" x14ac:dyDescent="0.2">
      <c r="A112" s="67"/>
      <c r="B112" s="72" t="s">
        <v>124</v>
      </c>
      <c r="C112" s="69"/>
      <c r="D112" s="68">
        <v>2</v>
      </c>
      <c r="E112" s="58" t="s">
        <v>25</v>
      </c>
      <c r="F112" s="58" t="str">
        <f>IF(B49="","",B49)</f>
        <v>Phase B / neutral</v>
      </c>
      <c r="G112" s="18"/>
      <c r="H112" s="58" t="str">
        <f>IF(D49="","",D49)</f>
        <v>any</v>
      </c>
      <c r="I112" s="58" t="str">
        <f>IF(AND(EXACT(D7,"Yes"),ISTEXT(D7)),B7,"")</f>
        <v/>
      </c>
      <c r="J112" s="58"/>
      <c r="K112" s="18"/>
      <c r="L112" s="70"/>
    </row>
    <row r="113" spans="1:12" s="65" customFormat="1" ht="22.15" customHeight="1" x14ac:dyDescent="0.2">
      <c r="A113" s="66"/>
      <c r="B113" s="118" t="s">
        <v>65</v>
      </c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</row>
    <row r="114" spans="1:12" s="71" customFormat="1" ht="22.15" customHeight="1" x14ac:dyDescent="0.2">
      <c r="A114" s="67"/>
      <c r="B114" s="72" t="s">
        <v>123</v>
      </c>
      <c r="C114" s="69"/>
      <c r="D114" s="68">
        <v>1</v>
      </c>
      <c r="E114" s="58" t="s">
        <v>25</v>
      </c>
      <c r="F114" s="58" t="str">
        <f>IF(B50="","",B50)</f>
        <v>Phase C / neutral</v>
      </c>
      <c r="G114" s="18"/>
      <c r="H114" s="58" t="str">
        <f>IF(D50="","",D50)</f>
        <v>any</v>
      </c>
      <c r="I114" s="58" t="str">
        <f>IF(AND(EXACT(D6,"Yes"),ISTEXT(D6)),B6,"")</f>
        <v/>
      </c>
      <c r="J114" s="58" t="str">
        <f>IF(AND(EXACT(D6,"Yes"),ISTEXT(D6)),E6,"")</f>
        <v/>
      </c>
      <c r="K114" s="18"/>
      <c r="L114" s="70"/>
    </row>
    <row r="115" spans="1:12" s="71" customFormat="1" ht="22.15" customHeight="1" x14ac:dyDescent="0.2">
      <c r="A115" s="67"/>
      <c r="B115" s="72" t="s">
        <v>124</v>
      </c>
      <c r="C115" s="69"/>
      <c r="D115" s="68">
        <v>2</v>
      </c>
      <c r="E115" s="58" t="s">
        <v>25</v>
      </c>
      <c r="F115" s="58" t="str">
        <f>IF(B50="","",B50)</f>
        <v>Phase C / neutral</v>
      </c>
      <c r="G115" s="18"/>
      <c r="H115" s="58" t="str">
        <f>IF(D50="","",D50)</f>
        <v>any</v>
      </c>
      <c r="I115" s="58" t="str">
        <f>IF(AND(EXACT(D7,"Yes"),ISTEXT(D7)),B7,"")</f>
        <v/>
      </c>
      <c r="J115" s="58"/>
      <c r="K115" s="18"/>
      <c r="L115" s="70"/>
    </row>
    <row r="116" spans="1:12" s="65" customFormat="1" ht="22.15" customHeight="1" x14ac:dyDescent="0.2">
      <c r="A116" s="66"/>
      <c r="B116" s="118" t="s">
        <v>66</v>
      </c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</row>
    <row r="117" spans="1:12" s="71" customFormat="1" ht="22.15" customHeight="1" x14ac:dyDescent="0.2">
      <c r="A117" s="67"/>
      <c r="B117" s="72" t="s">
        <v>123</v>
      </c>
      <c r="C117" s="69"/>
      <c r="D117" s="68">
        <v>1</v>
      </c>
      <c r="E117" s="58" t="s">
        <v>25</v>
      </c>
      <c r="F117" s="58" t="str">
        <f>IF(B51="","",B51)</f>
        <v>Phase A / Phase B</v>
      </c>
      <c r="G117" s="18"/>
      <c r="H117" s="58" t="str">
        <f>IF(D51="","",D51)</f>
        <v>any</v>
      </c>
      <c r="I117" s="58" t="str">
        <f>IF(AND(EXACT(D6,"Yes"),ISTEXT(D6)),B6,"")</f>
        <v/>
      </c>
      <c r="J117" s="58" t="str">
        <f>IF(AND(EXACT(D6,"Yes"),ISTEXT(D6)),E6,"")</f>
        <v/>
      </c>
      <c r="K117" s="18"/>
      <c r="L117" s="70"/>
    </row>
    <row r="118" spans="1:12" s="71" customFormat="1" ht="22.15" customHeight="1" x14ac:dyDescent="0.2">
      <c r="A118" s="67"/>
      <c r="B118" s="72" t="s">
        <v>124</v>
      </c>
      <c r="C118" s="69"/>
      <c r="D118" s="68">
        <v>2</v>
      </c>
      <c r="E118" s="58" t="s">
        <v>25</v>
      </c>
      <c r="F118" s="58" t="str">
        <f>IF(B51="","",B51)</f>
        <v>Phase A / Phase B</v>
      </c>
      <c r="G118" s="18"/>
      <c r="H118" s="58" t="str">
        <f>IF(D51="","",D51)</f>
        <v>any</v>
      </c>
      <c r="I118" s="58" t="str">
        <f>IF(AND(EXACT(D7,"Yes"),ISTEXT(D7)),B7,"")</f>
        <v/>
      </c>
      <c r="J118" s="58"/>
      <c r="K118" s="18"/>
      <c r="L118" s="70"/>
    </row>
    <row r="119" spans="1:12" s="65" customFormat="1" ht="22.15" customHeight="1" x14ac:dyDescent="0.2">
      <c r="A119" s="66"/>
      <c r="B119" s="118" t="s">
        <v>127</v>
      </c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</row>
    <row r="120" spans="1:12" s="71" customFormat="1" ht="22.15" customHeight="1" x14ac:dyDescent="0.2">
      <c r="A120" s="67"/>
      <c r="B120" s="72" t="s">
        <v>123</v>
      </c>
      <c r="C120" s="69"/>
      <c r="D120" s="68">
        <v>1</v>
      </c>
      <c r="E120" s="58" t="s">
        <v>25</v>
      </c>
      <c r="F120" s="58" t="str">
        <f>IF(B52="","",B52)</f>
        <v>Phase B / Phase C</v>
      </c>
      <c r="G120" s="18"/>
      <c r="H120" s="58" t="str">
        <f>IF(D52="","",D52)</f>
        <v>any</v>
      </c>
      <c r="I120" s="58" t="str">
        <f>IF(AND(EXACT(D6,"Yes"),ISTEXT(D6)),B6,"")</f>
        <v/>
      </c>
      <c r="J120" s="58" t="str">
        <f>IF(AND(EXACT(D6,"Yes"),ISTEXT(D6)),E6,"")</f>
        <v/>
      </c>
      <c r="K120" s="18"/>
      <c r="L120" s="70"/>
    </row>
    <row r="121" spans="1:12" s="71" customFormat="1" ht="22.15" customHeight="1" x14ac:dyDescent="0.2">
      <c r="A121" s="67"/>
      <c r="B121" s="72" t="s">
        <v>124</v>
      </c>
      <c r="C121" s="69"/>
      <c r="D121" s="68">
        <v>2</v>
      </c>
      <c r="E121" s="58" t="s">
        <v>25</v>
      </c>
      <c r="F121" s="58" t="str">
        <f>IF(B52="","",B52)</f>
        <v>Phase B / Phase C</v>
      </c>
      <c r="G121" s="18"/>
      <c r="H121" s="58" t="str">
        <f>IF(D52="","",D52)</f>
        <v>any</v>
      </c>
      <c r="I121" s="58" t="str">
        <f>IF(AND(EXACT(D7,"Yes"),ISTEXT(D7)),B7,"")</f>
        <v/>
      </c>
      <c r="J121" s="58"/>
      <c r="K121" s="18"/>
      <c r="L121" s="70"/>
    </row>
    <row r="122" spans="1:12" s="65" customFormat="1" ht="22.15" customHeight="1" x14ac:dyDescent="0.2">
      <c r="A122" s="66"/>
      <c r="B122" s="118" t="s">
        <v>128</v>
      </c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</row>
    <row r="123" spans="1:12" s="71" customFormat="1" ht="22.15" customHeight="1" x14ac:dyDescent="0.2">
      <c r="A123" s="67"/>
      <c r="B123" s="72" t="s">
        <v>123</v>
      </c>
      <c r="C123" s="69"/>
      <c r="D123" s="68">
        <v>1</v>
      </c>
      <c r="E123" s="58" t="s">
        <v>25</v>
      </c>
      <c r="F123" s="58" t="str">
        <f>IF(B53="","",B53)</f>
        <v>Phase C / Phase A</v>
      </c>
      <c r="G123" s="18"/>
      <c r="H123" s="58" t="str">
        <f>IF(D53="","",D53)</f>
        <v>any</v>
      </c>
      <c r="I123" s="58" t="str">
        <f>IF(AND(EXACT(D6,"Yes"),ISTEXT(D6)),B6,"")</f>
        <v/>
      </c>
      <c r="J123" s="58" t="str">
        <f>IF(AND(EXACT(D6,"Yes"),ISTEXT(D6)),E6,"")</f>
        <v/>
      </c>
      <c r="K123" s="18"/>
      <c r="L123" s="70"/>
    </row>
    <row r="124" spans="1:12" s="71" customFormat="1" ht="22.15" customHeight="1" x14ac:dyDescent="0.2">
      <c r="A124" s="67"/>
      <c r="B124" s="72" t="s">
        <v>124</v>
      </c>
      <c r="C124" s="69"/>
      <c r="D124" s="68">
        <v>2</v>
      </c>
      <c r="E124" s="58" t="s">
        <v>25</v>
      </c>
      <c r="F124" s="58" t="str">
        <f>IF(B53="","",B53)</f>
        <v>Phase C / Phase A</v>
      </c>
      <c r="G124" s="18"/>
      <c r="H124" s="58" t="str">
        <f>IF(D53="","",D53)</f>
        <v>any</v>
      </c>
      <c r="I124" s="58" t="str">
        <f>IF(AND(EXACT(D7,"Yes"),ISTEXT(D7)),B7,"")</f>
        <v/>
      </c>
      <c r="J124" s="58"/>
      <c r="K124" s="18"/>
      <c r="L124" s="70"/>
    </row>
    <row r="125" spans="1:12" s="65" customFormat="1" ht="22.15" customHeight="1" x14ac:dyDescent="0.2">
      <c r="A125" s="66"/>
      <c r="B125" s="118" t="s">
        <v>67</v>
      </c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</row>
    <row r="126" spans="1:12" s="71" customFormat="1" ht="22.15" customHeight="1" x14ac:dyDescent="0.2">
      <c r="A126" s="67"/>
      <c r="B126" s="72" t="s">
        <v>123</v>
      </c>
      <c r="C126" s="69"/>
      <c r="D126" s="68">
        <v>1</v>
      </c>
      <c r="E126" s="58" t="s">
        <v>25</v>
      </c>
      <c r="F126" s="57" t="str">
        <f>IF(B55="","",B55)</f>
        <v>Frequency</v>
      </c>
      <c r="G126" s="64"/>
      <c r="H126" s="58" t="str">
        <f>IF(D55="","",D55)</f>
        <v>any</v>
      </c>
      <c r="I126" s="58" t="str">
        <f>IF(AND(EXACT(D6,"Yes"),ISTEXT(D6)),B6,"")</f>
        <v/>
      </c>
      <c r="J126" s="58" t="str">
        <f>IF(AND(EXACT(D6,"Yes"),ISTEXT(D6)),E6,"")</f>
        <v/>
      </c>
      <c r="K126" s="18"/>
      <c r="L126" s="70"/>
    </row>
    <row r="127" spans="1:12" s="71" customFormat="1" ht="22.15" customHeight="1" x14ac:dyDescent="0.2">
      <c r="A127" s="67"/>
      <c r="B127" s="72" t="s">
        <v>124</v>
      </c>
      <c r="C127" s="69"/>
      <c r="D127" s="68">
        <v>2</v>
      </c>
      <c r="E127" s="58" t="s">
        <v>25</v>
      </c>
      <c r="F127" s="57" t="str">
        <f>IF(B55="","",B55)</f>
        <v>Frequency</v>
      </c>
      <c r="G127" s="64"/>
      <c r="H127" s="58" t="str">
        <f>IF(D55="","",D55)</f>
        <v>any</v>
      </c>
      <c r="I127" s="58" t="str">
        <f>IF(AND(EXACT(D7,"Yes"),ISTEXT(D7)),B7,"")</f>
        <v/>
      </c>
      <c r="J127" s="58"/>
      <c r="K127" s="18"/>
      <c r="L127" s="70"/>
    </row>
    <row r="128" spans="1:12" s="65" customFormat="1" ht="22.15" customHeight="1" x14ac:dyDescent="0.2">
      <c r="A128" s="66"/>
      <c r="B128" s="118" t="s">
        <v>40</v>
      </c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</row>
    <row r="129" spans="1:12" s="71" customFormat="1" ht="22.15" customHeight="1" x14ac:dyDescent="0.2">
      <c r="A129" s="67"/>
      <c r="B129" s="68">
        <v>1</v>
      </c>
      <c r="C129" s="69"/>
      <c r="D129" s="68">
        <v>1</v>
      </c>
      <c r="E129" s="58" t="s">
        <v>25</v>
      </c>
      <c r="F129" s="18"/>
      <c r="G129" s="18"/>
      <c r="H129" s="18"/>
      <c r="I129" s="58" t="str">
        <f>IF(AND(EXACT(D6,"Yes"),ISTEXT(D6)),B6,"")</f>
        <v/>
      </c>
      <c r="J129" s="58" t="str">
        <f>IF(AND(EXACT(D6,"Yes"),ISTEXT(D6)),E6,"")</f>
        <v/>
      </c>
      <c r="K129" s="18"/>
      <c r="L129" s="70"/>
    </row>
    <row r="130" spans="1:12" s="65" customFormat="1" ht="22.15" customHeight="1" x14ac:dyDescent="0.2">
      <c r="A130" s="66"/>
      <c r="B130" s="118" t="s">
        <v>41</v>
      </c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</row>
    <row r="131" spans="1:12" s="71" customFormat="1" ht="22.15" customHeight="1" x14ac:dyDescent="0.2">
      <c r="A131" s="67"/>
      <c r="B131" s="68">
        <v>1</v>
      </c>
      <c r="C131" s="69"/>
      <c r="D131" s="68">
        <v>1</v>
      </c>
      <c r="E131" s="58" t="s">
        <v>25</v>
      </c>
      <c r="F131" s="18"/>
      <c r="G131" s="18"/>
      <c r="H131" s="18"/>
      <c r="I131" s="58" t="str">
        <f>IF(AND(EXACT(D7,"Yes"),ISTEXT(D7)),B7,"")</f>
        <v/>
      </c>
      <c r="J131" s="58"/>
      <c r="K131" s="18"/>
      <c r="L131" s="70"/>
    </row>
    <row r="132" spans="1:12" s="65" customFormat="1" ht="22.15" customHeight="1" x14ac:dyDescent="0.2">
      <c r="A132" s="66"/>
      <c r="B132" s="118" t="s">
        <v>68</v>
      </c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</row>
    <row r="133" spans="1:12" s="71" customFormat="1" ht="22.15" customHeight="1" x14ac:dyDescent="0.2">
      <c r="A133" s="67"/>
      <c r="B133" s="72" t="s">
        <v>123</v>
      </c>
      <c r="C133" s="69"/>
      <c r="D133" s="68">
        <v>1</v>
      </c>
      <c r="E133" s="58" t="s">
        <v>25</v>
      </c>
      <c r="F133" s="57" t="str">
        <f>IF(B25="","",B25)</f>
        <v>Power total</v>
      </c>
      <c r="G133" s="64"/>
      <c r="H133" s="58" t="str">
        <f>IF(D25="","",D25)</f>
        <v>consume</v>
      </c>
      <c r="I133" s="58" t="str">
        <f>IF(AND(EXACT(D6,"Yes"),ISTEXT(D6)),B6,"")</f>
        <v/>
      </c>
      <c r="J133" s="58" t="str">
        <f>IF(AND(EXACT(D6,"Yes"),ISTEXT(D6)),E6,"")</f>
        <v/>
      </c>
      <c r="K133" s="18"/>
      <c r="L133" s="70"/>
    </row>
    <row r="134" spans="1:12" s="71" customFormat="1" ht="22.15" customHeight="1" x14ac:dyDescent="0.2">
      <c r="A134" s="67"/>
      <c r="B134" s="72" t="s">
        <v>124</v>
      </c>
      <c r="C134" s="69"/>
      <c r="D134" s="68">
        <v>2</v>
      </c>
      <c r="E134" s="58" t="s">
        <v>25</v>
      </c>
      <c r="F134" s="57" t="str">
        <f>IF(B25="","",B25)</f>
        <v>Power total</v>
      </c>
      <c r="G134" s="64"/>
      <c r="H134" s="58" t="str">
        <f>IF(D25="","",D25)</f>
        <v>consume</v>
      </c>
      <c r="I134" s="58" t="str">
        <f>IF(AND(EXACT(D7,"Yes"),ISTEXT(D7)),B7,"")</f>
        <v/>
      </c>
      <c r="J134" s="58"/>
      <c r="K134" s="18"/>
      <c r="L134" s="70"/>
    </row>
    <row r="135" spans="1:12" s="71" customFormat="1" ht="22.15" customHeight="1" x14ac:dyDescent="0.2">
      <c r="A135" s="67"/>
      <c r="B135" s="72" t="s">
        <v>125</v>
      </c>
      <c r="C135" s="69"/>
      <c r="D135" s="68">
        <v>1</v>
      </c>
      <c r="E135" s="58" t="s">
        <v>25</v>
      </c>
      <c r="F135" s="57" t="str">
        <f>IF(B25="","",B25)</f>
        <v>Power total</v>
      </c>
      <c r="G135" s="64"/>
      <c r="H135" s="58" t="str">
        <f>IF(D26="","",D26)</f>
        <v>produce</v>
      </c>
      <c r="I135" s="58" t="str">
        <f>IF(AND(EXACT(D6,"Yes"),ISTEXT(D6)),B6,"")</f>
        <v/>
      </c>
      <c r="J135" s="58" t="str">
        <f>IF(AND(EXACT(D6,"Yes"),ISTEXT(D6)),E6,"")</f>
        <v/>
      </c>
      <c r="K135" s="18"/>
      <c r="L135" s="70"/>
    </row>
    <row r="136" spans="1:12" s="71" customFormat="1" ht="22.15" customHeight="1" x14ac:dyDescent="0.2">
      <c r="A136" s="67"/>
      <c r="B136" s="72" t="s">
        <v>126</v>
      </c>
      <c r="C136" s="69"/>
      <c r="D136" s="68">
        <v>2</v>
      </c>
      <c r="E136" s="58" t="s">
        <v>25</v>
      </c>
      <c r="F136" s="57" t="str">
        <f>IF(B25="","",B25)</f>
        <v>Power total</v>
      </c>
      <c r="G136" s="64"/>
      <c r="H136" s="58" t="str">
        <f>IF(D26="","",D26)</f>
        <v>produce</v>
      </c>
      <c r="I136" s="58" t="str">
        <f>IF(AND(EXACT(D7,"Yes"),ISTEXT(D7)),B7,"")</f>
        <v/>
      </c>
      <c r="J136" s="58"/>
      <c r="K136" s="18"/>
      <c r="L136" s="70"/>
    </row>
    <row r="137" spans="1:12" s="65" customFormat="1" ht="22.15" customHeight="1" x14ac:dyDescent="0.2">
      <c r="A137" s="66"/>
      <c r="B137" s="118" t="s">
        <v>69</v>
      </c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</row>
    <row r="138" spans="1:12" s="71" customFormat="1" ht="22.15" customHeight="1" x14ac:dyDescent="0.2">
      <c r="A138" s="67"/>
      <c r="B138" s="68">
        <v>1</v>
      </c>
      <c r="C138" s="69"/>
      <c r="D138" s="68">
        <v>1</v>
      </c>
      <c r="E138" s="58" t="s">
        <v>26</v>
      </c>
      <c r="F138" s="58" t="str">
        <f>IF(B25="","",B25)</f>
        <v>Power total</v>
      </c>
      <c r="G138" s="64"/>
      <c r="H138" s="58" t="str">
        <f>IF(D25="","",D25)</f>
        <v>consume</v>
      </c>
      <c r="I138" s="58" t="str">
        <f>IF(AND(EXACT(D6,"Yes"),ISTEXT(D6)),B6,"")</f>
        <v/>
      </c>
      <c r="J138" s="58" t="str">
        <f>IF(AND(EXACT(D6,"Yes"),ISTEXT(D6)),E6,"")</f>
        <v/>
      </c>
      <c r="K138" s="18"/>
      <c r="L138" s="70"/>
    </row>
    <row r="139" spans="1:12" s="71" customFormat="1" ht="22.15" customHeight="1" x14ac:dyDescent="0.2">
      <c r="A139" s="67"/>
      <c r="B139" s="68">
        <v>2</v>
      </c>
      <c r="C139" s="69"/>
      <c r="D139" s="68">
        <v>1</v>
      </c>
      <c r="E139" s="58" t="s">
        <v>27</v>
      </c>
      <c r="F139" s="58" t="str">
        <f>IF(B25="","",B25)</f>
        <v>Power total</v>
      </c>
      <c r="G139" s="64"/>
      <c r="H139" s="58" t="str">
        <f>IF(D25="","",D25)</f>
        <v>consume</v>
      </c>
      <c r="I139" s="58" t="str">
        <f>IF(AND(EXACT(D6,"Yes"),ISTEXT(D6)),B6,"")</f>
        <v/>
      </c>
      <c r="J139" s="58" t="str">
        <f>IF(AND(EXACT(D6,"Yes"),ISTEXT(D6)),E6,"")</f>
        <v/>
      </c>
      <c r="K139" s="18"/>
      <c r="L139" s="70"/>
    </row>
    <row r="140" spans="1:12" s="71" customFormat="1" ht="22.15" customHeight="1" x14ac:dyDescent="0.2">
      <c r="A140" s="67"/>
      <c r="B140" s="68">
        <v>3</v>
      </c>
      <c r="C140" s="69"/>
      <c r="D140" s="68">
        <v>1</v>
      </c>
      <c r="E140" s="58" t="s">
        <v>26</v>
      </c>
      <c r="F140" s="58" t="str">
        <f>IF(B25="","",B25)</f>
        <v>Power total</v>
      </c>
      <c r="G140" s="64"/>
      <c r="H140" s="58" t="str">
        <f>IF(D26="","",D26)</f>
        <v>produce</v>
      </c>
      <c r="I140" s="58" t="str">
        <f>IF(AND(EXACT(D6,"Yes"),ISTEXT(D6)),B6,"")</f>
        <v/>
      </c>
      <c r="J140" s="58" t="str">
        <f>IF(AND(EXACT(D6,"Yes"),ISTEXT(D6)),E6,"")</f>
        <v/>
      </c>
      <c r="K140" s="18"/>
      <c r="L140" s="70"/>
    </row>
    <row r="141" spans="1:12" s="71" customFormat="1" ht="22.15" customHeight="1" x14ac:dyDescent="0.2">
      <c r="A141" s="67"/>
      <c r="B141" s="68">
        <v>4</v>
      </c>
      <c r="C141" s="69"/>
      <c r="D141" s="68">
        <v>1</v>
      </c>
      <c r="E141" s="58" t="s">
        <v>27</v>
      </c>
      <c r="F141" s="58" t="str">
        <f>IF(B25="","",B25)</f>
        <v>Power total</v>
      </c>
      <c r="G141" s="64"/>
      <c r="H141" s="58" t="str">
        <f>IF(D26="","",D26)</f>
        <v>produce</v>
      </c>
      <c r="I141" s="58" t="str">
        <f>IF(AND(EXACT(D6,"Yes"),ISTEXT(D6)),B6,"")</f>
        <v/>
      </c>
      <c r="J141" s="58" t="str">
        <f>IF(AND(EXACT(D6,"Yes"),ISTEXT(D6)),E6,"")</f>
        <v/>
      </c>
      <c r="K141" s="18"/>
      <c r="L141" s="70"/>
    </row>
    <row r="142" spans="1:12" s="65" customFormat="1" ht="22.15" customHeight="1" x14ac:dyDescent="0.2">
      <c r="A142" s="66"/>
      <c r="B142" s="118" t="s">
        <v>70</v>
      </c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</row>
    <row r="143" spans="1:12" s="71" customFormat="1" ht="22.15" customHeight="1" x14ac:dyDescent="0.2">
      <c r="A143" s="67"/>
      <c r="B143" s="72" t="s">
        <v>123</v>
      </c>
      <c r="C143" s="69"/>
      <c r="D143" s="68">
        <v>1</v>
      </c>
      <c r="E143" s="58" t="s">
        <v>25</v>
      </c>
      <c r="F143" s="57" t="str">
        <f>IF(B28="","",B28)</f>
        <v>Phase A</v>
      </c>
      <c r="G143" s="64"/>
      <c r="H143" s="58" t="str">
        <f>IF(D28="","",D28)</f>
        <v>consume</v>
      </c>
      <c r="I143" s="58" t="str">
        <f>IF(AND(EXACT(D6,"Yes"),ISTEXT(D6)),B6,"")</f>
        <v/>
      </c>
      <c r="J143" s="58" t="str">
        <f>IF(AND(EXACT(D6,"Yes"),ISTEXT(D6)),E6,"")</f>
        <v/>
      </c>
      <c r="K143" s="18"/>
      <c r="L143" s="70"/>
    </row>
    <row r="144" spans="1:12" s="71" customFormat="1" ht="22.15" customHeight="1" x14ac:dyDescent="0.2">
      <c r="A144" s="67"/>
      <c r="B144" s="72" t="s">
        <v>124</v>
      </c>
      <c r="C144" s="69"/>
      <c r="D144" s="68">
        <v>2</v>
      </c>
      <c r="E144" s="58" t="s">
        <v>25</v>
      </c>
      <c r="F144" s="57" t="str">
        <f>IF(B28="","",B28)</f>
        <v>Phase A</v>
      </c>
      <c r="G144" s="64"/>
      <c r="H144" s="58" t="str">
        <f>IF(D28="","",D28)</f>
        <v>consume</v>
      </c>
      <c r="I144" s="58" t="str">
        <f>IF(AND(EXACT(D7,"Yes"),ISTEXT(D7)),B7,"")</f>
        <v/>
      </c>
      <c r="J144" s="58"/>
      <c r="K144" s="18"/>
      <c r="L144" s="70"/>
    </row>
    <row r="145" spans="1:12" s="71" customFormat="1" ht="22.15" customHeight="1" x14ac:dyDescent="0.2">
      <c r="A145" s="67"/>
      <c r="B145" s="72" t="s">
        <v>125</v>
      </c>
      <c r="C145" s="69"/>
      <c r="D145" s="68">
        <v>1</v>
      </c>
      <c r="E145" s="58" t="s">
        <v>25</v>
      </c>
      <c r="F145" s="57" t="str">
        <f>IF(B28="","",B28)</f>
        <v>Phase A</v>
      </c>
      <c r="G145" s="64"/>
      <c r="H145" s="58" t="str">
        <f>IF(D29="","",D29)</f>
        <v>produce</v>
      </c>
      <c r="I145" s="58" t="str">
        <f>IF(AND(EXACT(D6,"Yes"),ISTEXT(D6)),B6,"")</f>
        <v/>
      </c>
      <c r="J145" s="58" t="str">
        <f>IF(AND(EXACT(D6,"Yes"),ISTEXT(D6)),E6,"")</f>
        <v/>
      </c>
      <c r="K145" s="18"/>
      <c r="L145" s="70"/>
    </row>
    <row r="146" spans="1:12" s="71" customFormat="1" ht="22.15" customHeight="1" x14ac:dyDescent="0.2">
      <c r="A146" s="67"/>
      <c r="B146" s="72" t="s">
        <v>126</v>
      </c>
      <c r="C146" s="69"/>
      <c r="D146" s="68">
        <v>2</v>
      </c>
      <c r="E146" s="58" t="s">
        <v>25</v>
      </c>
      <c r="F146" s="57" t="str">
        <f>IF(B28="","",B28)</f>
        <v>Phase A</v>
      </c>
      <c r="G146" s="64"/>
      <c r="H146" s="58" t="str">
        <f>IF(D29="","",D29)</f>
        <v>produce</v>
      </c>
      <c r="I146" s="58" t="str">
        <f>IF(AND(EXACT(D7,"Yes"),ISTEXT(D7)),B7,"")</f>
        <v/>
      </c>
      <c r="J146" s="58"/>
      <c r="K146" s="18"/>
      <c r="L146" s="70"/>
    </row>
    <row r="147" spans="1:12" s="65" customFormat="1" ht="22.15" customHeight="1" x14ac:dyDescent="0.2">
      <c r="A147" s="66"/>
      <c r="B147" s="118" t="s">
        <v>71</v>
      </c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</row>
    <row r="148" spans="1:12" s="71" customFormat="1" ht="22.15" customHeight="1" x14ac:dyDescent="0.2">
      <c r="A148" s="67"/>
      <c r="B148" s="68">
        <v>1</v>
      </c>
      <c r="C148" s="69"/>
      <c r="D148" s="68">
        <v>1</v>
      </c>
      <c r="E148" s="58" t="s">
        <v>26</v>
      </c>
      <c r="F148" s="58" t="str">
        <f>IF(B28="","",B28)</f>
        <v>Phase A</v>
      </c>
      <c r="G148" s="64"/>
      <c r="H148" s="58" t="str">
        <f>IF(D28="","",D28)</f>
        <v>consume</v>
      </c>
      <c r="I148" s="58" t="str">
        <f>IF(AND(EXACT(D6,"Yes"),ISTEXT(D6)),B6,"")</f>
        <v/>
      </c>
      <c r="J148" s="58" t="str">
        <f>IF(AND(EXACT(D6,"Yes"),ISTEXT(D6)),E6,"")</f>
        <v/>
      </c>
      <c r="K148" s="18"/>
      <c r="L148" s="70"/>
    </row>
    <row r="149" spans="1:12" s="71" customFormat="1" ht="22.15" customHeight="1" x14ac:dyDescent="0.2">
      <c r="A149" s="67"/>
      <c r="B149" s="68">
        <v>2</v>
      </c>
      <c r="C149" s="69"/>
      <c r="D149" s="68">
        <v>1</v>
      </c>
      <c r="E149" s="58" t="s">
        <v>27</v>
      </c>
      <c r="F149" s="58" t="str">
        <f>IF(B28="","",B28)</f>
        <v>Phase A</v>
      </c>
      <c r="G149" s="64"/>
      <c r="H149" s="58" t="str">
        <f>IF(D28="","",D28)</f>
        <v>consume</v>
      </c>
      <c r="I149" s="58" t="str">
        <f>IF(AND(EXACT(D6,"Yes"),ISTEXT(D6)),B6,"")</f>
        <v/>
      </c>
      <c r="J149" s="58" t="str">
        <f>IF(AND(EXACT(D6,"Yes"),ISTEXT(D6)),E6,"")</f>
        <v/>
      </c>
      <c r="K149" s="18"/>
      <c r="L149" s="70"/>
    </row>
    <row r="150" spans="1:12" s="71" customFormat="1" ht="22.15" customHeight="1" x14ac:dyDescent="0.2">
      <c r="A150" s="67"/>
      <c r="B150" s="68">
        <v>3</v>
      </c>
      <c r="C150" s="69"/>
      <c r="D150" s="68">
        <v>1</v>
      </c>
      <c r="E150" s="58" t="s">
        <v>26</v>
      </c>
      <c r="F150" s="58" t="str">
        <f>IF(B28="","",B28)</f>
        <v>Phase A</v>
      </c>
      <c r="G150" s="64"/>
      <c r="H150" s="58" t="str">
        <f>IF(D29="","",D29)</f>
        <v>produce</v>
      </c>
      <c r="I150" s="58" t="str">
        <f>IF(AND(EXACT(D6,"Yes"),ISTEXT(D6)),B6,"")</f>
        <v/>
      </c>
      <c r="J150" s="58" t="str">
        <f>IF(AND(EXACT(D6,"Yes"),ISTEXT(D6)),E6,"")</f>
        <v/>
      </c>
      <c r="K150" s="18"/>
      <c r="L150" s="70"/>
    </row>
    <row r="151" spans="1:12" s="71" customFormat="1" ht="22.15" customHeight="1" x14ac:dyDescent="0.2">
      <c r="A151" s="67"/>
      <c r="B151" s="68">
        <v>4</v>
      </c>
      <c r="C151" s="69"/>
      <c r="D151" s="68">
        <v>1</v>
      </c>
      <c r="E151" s="58" t="s">
        <v>27</v>
      </c>
      <c r="F151" s="58" t="str">
        <f>IF(B28="","",B28)</f>
        <v>Phase A</v>
      </c>
      <c r="G151" s="64"/>
      <c r="H151" s="58" t="str">
        <f>IF(D29="","",D29)</f>
        <v>produce</v>
      </c>
      <c r="I151" s="58" t="str">
        <f>IF(AND(EXACT(D6,"Yes"),ISTEXT(D6)),B6,"")</f>
        <v/>
      </c>
      <c r="J151" s="58" t="str">
        <f>IF(AND(EXACT(D6,"Yes"),ISTEXT(D6)),E6,"")</f>
        <v/>
      </c>
      <c r="K151" s="18"/>
      <c r="L151" s="70"/>
    </row>
    <row r="152" spans="1:12" s="65" customFormat="1" ht="22.15" customHeight="1" x14ac:dyDescent="0.2">
      <c r="A152" s="66"/>
      <c r="B152" s="118" t="s">
        <v>72</v>
      </c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</row>
    <row r="153" spans="1:12" s="71" customFormat="1" ht="22.15" customHeight="1" x14ac:dyDescent="0.2">
      <c r="A153" s="67"/>
      <c r="B153" s="72" t="s">
        <v>123</v>
      </c>
      <c r="C153" s="69"/>
      <c r="D153" s="68">
        <v>1</v>
      </c>
      <c r="E153" s="58" t="s">
        <v>25</v>
      </c>
      <c r="F153" s="57" t="str">
        <f>IF(B30="","",B30)</f>
        <v>Phase B</v>
      </c>
      <c r="G153" s="64"/>
      <c r="H153" s="58" t="str">
        <f>IF(D30="","",D30)</f>
        <v>consume</v>
      </c>
      <c r="I153" s="58" t="str">
        <f>IF(AND(EXACT(D6,"Yes"),ISTEXT(D6)),B6,"")</f>
        <v/>
      </c>
      <c r="J153" s="58" t="str">
        <f>IF(AND(EXACT(D6,"Yes"),ISTEXT(D6)),E6,"")</f>
        <v/>
      </c>
      <c r="K153" s="18"/>
      <c r="L153" s="70"/>
    </row>
    <row r="154" spans="1:12" s="71" customFormat="1" ht="22.15" customHeight="1" x14ac:dyDescent="0.2">
      <c r="A154" s="67"/>
      <c r="B154" s="72" t="s">
        <v>124</v>
      </c>
      <c r="C154" s="69"/>
      <c r="D154" s="68">
        <v>2</v>
      </c>
      <c r="E154" s="58" t="s">
        <v>25</v>
      </c>
      <c r="F154" s="57" t="str">
        <f>IF(B30="","",B30)</f>
        <v>Phase B</v>
      </c>
      <c r="G154" s="64"/>
      <c r="H154" s="58" t="str">
        <f>IF(D30="","",D30)</f>
        <v>consume</v>
      </c>
      <c r="I154" s="58" t="str">
        <f>IF(AND(EXACT(D7,"Yes"),ISTEXT(D7)),B7,"")</f>
        <v/>
      </c>
      <c r="J154" s="58"/>
      <c r="K154" s="18"/>
      <c r="L154" s="70"/>
    </row>
    <row r="155" spans="1:12" s="71" customFormat="1" ht="22.15" customHeight="1" x14ac:dyDescent="0.2">
      <c r="A155" s="67"/>
      <c r="B155" s="72" t="s">
        <v>125</v>
      </c>
      <c r="C155" s="69"/>
      <c r="D155" s="68">
        <v>1</v>
      </c>
      <c r="E155" s="58" t="s">
        <v>25</v>
      </c>
      <c r="F155" s="57" t="str">
        <f>IF(B30="","",B30)</f>
        <v>Phase B</v>
      </c>
      <c r="G155" s="64"/>
      <c r="H155" s="58" t="str">
        <f>IF(D31="","",D31)</f>
        <v>produce</v>
      </c>
      <c r="I155" s="58" t="str">
        <f>IF(AND(EXACT(D6,"Yes"),ISTEXT(D6)),B6,"")</f>
        <v/>
      </c>
      <c r="J155" s="58" t="str">
        <f>IF(AND(EXACT(D6,"Yes"),ISTEXT(D6)),E6,"")</f>
        <v/>
      </c>
      <c r="K155" s="18"/>
      <c r="L155" s="70"/>
    </row>
    <row r="156" spans="1:12" s="71" customFormat="1" ht="22.15" customHeight="1" x14ac:dyDescent="0.2">
      <c r="A156" s="67"/>
      <c r="B156" s="72" t="s">
        <v>126</v>
      </c>
      <c r="C156" s="69"/>
      <c r="D156" s="68">
        <v>2</v>
      </c>
      <c r="E156" s="58" t="s">
        <v>25</v>
      </c>
      <c r="F156" s="57" t="str">
        <f>IF(B30="","",B30)</f>
        <v>Phase B</v>
      </c>
      <c r="G156" s="64"/>
      <c r="H156" s="58" t="str">
        <f>IF(D31="","",D31)</f>
        <v>produce</v>
      </c>
      <c r="I156" s="58" t="str">
        <f>IF(AND(EXACT(D7,"Yes"),ISTEXT(D7)),B7,"")</f>
        <v/>
      </c>
      <c r="J156" s="58"/>
      <c r="K156" s="18"/>
      <c r="L156" s="70"/>
    </row>
    <row r="157" spans="1:12" s="65" customFormat="1" ht="22.15" customHeight="1" x14ac:dyDescent="0.2">
      <c r="A157" s="66"/>
      <c r="B157" s="118" t="s">
        <v>73</v>
      </c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</row>
    <row r="158" spans="1:12" s="71" customFormat="1" ht="22.15" customHeight="1" x14ac:dyDescent="0.2">
      <c r="A158" s="67"/>
      <c r="B158" s="68">
        <v>1</v>
      </c>
      <c r="C158" s="69"/>
      <c r="D158" s="68">
        <v>1</v>
      </c>
      <c r="E158" s="58" t="s">
        <v>26</v>
      </c>
      <c r="F158" s="58" t="str">
        <f>IF(B30="","",B30)</f>
        <v>Phase B</v>
      </c>
      <c r="G158" s="64"/>
      <c r="H158" s="58" t="str">
        <f>IF(D30="","",D30)</f>
        <v>consume</v>
      </c>
      <c r="I158" s="58" t="str">
        <f>IF(AND(EXACT(D6,"Yes"),ISTEXT(D6)),B6,"")</f>
        <v/>
      </c>
      <c r="J158" s="58" t="str">
        <f>IF(AND(EXACT(D6,"Yes"),ISTEXT(D6)),E6,"")</f>
        <v/>
      </c>
      <c r="K158" s="18"/>
      <c r="L158" s="70"/>
    </row>
    <row r="159" spans="1:12" s="71" customFormat="1" ht="22.15" customHeight="1" x14ac:dyDescent="0.2">
      <c r="A159" s="67"/>
      <c r="B159" s="68">
        <v>2</v>
      </c>
      <c r="C159" s="69"/>
      <c r="D159" s="68">
        <v>1</v>
      </c>
      <c r="E159" s="58" t="s">
        <v>27</v>
      </c>
      <c r="F159" s="58" t="str">
        <f>IF(B30="","",B30)</f>
        <v>Phase B</v>
      </c>
      <c r="G159" s="64"/>
      <c r="H159" s="58" t="str">
        <f>IF(D30="","",D30)</f>
        <v>consume</v>
      </c>
      <c r="I159" s="58" t="str">
        <f>IF(AND(EXACT(D6,"Yes"),ISTEXT(D6)),B6,"")</f>
        <v/>
      </c>
      <c r="J159" s="58" t="str">
        <f>IF(AND(EXACT(D6,"Yes"),ISTEXT(D6)),E6,"")</f>
        <v/>
      </c>
      <c r="K159" s="18"/>
      <c r="L159" s="70"/>
    </row>
    <row r="160" spans="1:12" s="71" customFormat="1" ht="22.15" customHeight="1" x14ac:dyDescent="0.2">
      <c r="A160" s="67"/>
      <c r="B160" s="68">
        <v>3</v>
      </c>
      <c r="C160" s="69"/>
      <c r="D160" s="68">
        <v>1</v>
      </c>
      <c r="E160" s="58" t="s">
        <v>26</v>
      </c>
      <c r="F160" s="58" t="str">
        <f>IF(B30="","",B30)</f>
        <v>Phase B</v>
      </c>
      <c r="G160" s="64"/>
      <c r="H160" s="58" t="str">
        <f>IF(D31="","",D31)</f>
        <v>produce</v>
      </c>
      <c r="I160" s="58" t="str">
        <f>IF(AND(EXACT(D6,"Yes"),ISTEXT(D6)),B6,"")</f>
        <v/>
      </c>
      <c r="J160" s="58" t="str">
        <f>IF(AND(EXACT(D6,"Yes"),ISTEXT(D6)),E6,"")</f>
        <v/>
      </c>
      <c r="K160" s="18"/>
      <c r="L160" s="70"/>
    </row>
    <row r="161" spans="1:12" s="71" customFormat="1" ht="22.15" customHeight="1" x14ac:dyDescent="0.2">
      <c r="A161" s="67"/>
      <c r="B161" s="68">
        <v>4</v>
      </c>
      <c r="C161" s="69"/>
      <c r="D161" s="68">
        <v>1</v>
      </c>
      <c r="E161" s="58" t="s">
        <v>27</v>
      </c>
      <c r="F161" s="58" t="str">
        <f>IF(B30="","",B30)</f>
        <v>Phase B</v>
      </c>
      <c r="G161" s="64"/>
      <c r="H161" s="58" t="str">
        <f>IF(D31="","",D31)</f>
        <v>produce</v>
      </c>
      <c r="I161" s="58" t="str">
        <f>IF(AND(EXACT(D6,"Yes"),ISTEXT(D6)),B6,"")</f>
        <v/>
      </c>
      <c r="J161" s="58" t="str">
        <f>IF(AND(EXACT(D6,"Yes"),ISTEXT(D6)),E6,"")</f>
        <v/>
      </c>
      <c r="K161" s="18"/>
      <c r="L161" s="70"/>
    </row>
    <row r="162" spans="1:12" s="65" customFormat="1" ht="22.15" customHeight="1" x14ac:dyDescent="0.2">
      <c r="A162" s="66"/>
      <c r="B162" s="118" t="s">
        <v>74</v>
      </c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</row>
    <row r="163" spans="1:12" s="71" customFormat="1" ht="22.15" customHeight="1" x14ac:dyDescent="0.2">
      <c r="A163" s="67"/>
      <c r="B163" s="72" t="s">
        <v>123</v>
      </c>
      <c r="C163" s="69"/>
      <c r="D163" s="68">
        <v>1</v>
      </c>
      <c r="E163" s="58" t="s">
        <v>25</v>
      </c>
      <c r="F163" s="57" t="str">
        <f>IF(B32="","",B32)</f>
        <v>Phase C</v>
      </c>
      <c r="G163" s="64"/>
      <c r="H163" s="58" t="str">
        <f>IF(D32="","",D32)</f>
        <v>consume</v>
      </c>
      <c r="I163" s="58" t="str">
        <f>IF(AND(EXACT(D6,"Yes"),ISTEXT(D6)),B6,"")</f>
        <v/>
      </c>
      <c r="J163" s="58" t="str">
        <f>IF(AND(EXACT(D6,"Yes"),ISTEXT(D6)),E6,"")</f>
        <v/>
      </c>
      <c r="K163" s="18"/>
      <c r="L163" s="70"/>
    </row>
    <row r="164" spans="1:12" s="71" customFormat="1" ht="22.15" customHeight="1" x14ac:dyDescent="0.2">
      <c r="A164" s="67"/>
      <c r="B164" s="72" t="s">
        <v>124</v>
      </c>
      <c r="C164" s="69"/>
      <c r="D164" s="68">
        <v>2</v>
      </c>
      <c r="E164" s="58" t="s">
        <v>25</v>
      </c>
      <c r="F164" s="57" t="str">
        <f>IF(B32="","",B32)</f>
        <v>Phase C</v>
      </c>
      <c r="G164" s="64"/>
      <c r="H164" s="58" t="str">
        <f>IF(D32="","",D32)</f>
        <v>consume</v>
      </c>
      <c r="I164" s="58" t="str">
        <f>IF(AND(EXACT(D7,"Yes"),ISTEXT(D7)),B7,"")</f>
        <v/>
      </c>
      <c r="J164" s="58"/>
      <c r="K164" s="18"/>
      <c r="L164" s="70"/>
    </row>
    <row r="165" spans="1:12" s="71" customFormat="1" ht="22.15" customHeight="1" x14ac:dyDescent="0.2">
      <c r="A165" s="67"/>
      <c r="B165" s="72" t="s">
        <v>125</v>
      </c>
      <c r="C165" s="69"/>
      <c r="D165" s="68">
        <v>1</v>
      </c>
      <c r="E165" s="58" t="s">
        <v>25</v>
      </c>
      <c r="F165" s="57" t="str">
        <f>IF(B32="","",B32)</f>
        <v>Phase C</v>
      </c>
      <c r="G165" s="64"/>
      <c r="H165" s="58" t="str">
        <f>IF(D33="","",D33)</f>
        <v>produce</v>
      </c>
      <c r="I165" s="58" t="str">
        <f>IF(AND(EXACT(D6,"Yes"),ISTEXT(D6)),B6,"")</f>
        <v/>
      </c>
      <c r="J165" s="58" t="str">
        <f>IF(AND(EXACT(D6,"Yes"),ISTEXT(D6)),E6,"")</f>
        <v/>
      </c>
      <c r="K165" s="18"/>
      <c r="L165" s="70"/>
    </row>
    <row r="166" spans="1:12" s="71" customFormat="1" ht="22.15" customHeight="1" x14ac:dyDescent="0.2">
      <c r="A166" s="67"/>
      <c r="B166" s="72" t="s">
        <v>126</v>
      </c>
      <c r="C166" s="69"/>
      <c r="D166" s="68">
        <v>2</v>
      </c>
      <c r="E166" s="58" t="s">
        <v>25</v>
      </c>
      <c r="F166" s="57" t="str">
        <f>IF(B32="","",B32)</f>
        <v>Phase C</v>
      </c>
      <c r="G166" s="64"/>
      <c r="H166" s="58" t="str">
        <f>IF(D33="","",D33)</f>
        <v>produce</v>
      </c>
      <c r="I166" s="58" t="str">
        <f>IF(AND(EXACT(D7,"Yes"),ISTEXT(D7)),B7,"")</f>
        <v/>
      </c>
      <c r="J166" s="58"/>
      <c r="K166" s="18"/>
      <c r="L166" s="70"/>
    </row>
    <row r="167" spans="1:12" s="65" customFormat="1" ht="22.15" customHeight="1" x14ac:dyDescent="0.2">
      <c r="A167" s="66"/>
      <c r="B167" s="118" t="s">
        <v>75</v>
      </c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</row>
    <row r="168" spans="1:12" s="71" customFormat="1" ht="22.15" customHeight="1" x14ac:dyDescent="0.2">
      <c r="A168" s="67"/>
      <c r="B168" s="68">
        <v>1</v>
      </c>
      <c r="C168" s="69"/>
      <c r="D168" s="68">
        <v>1</v>
      </c>
      <c r="E168" s="58" t="s">
        <v>26</v>
      </c>
      <c r="F168" s="58" t="str">
        <f>IF(B32="","",B32)</f>
        <v>Phase C</v>
      </c>
      <c r="G168" s="64"/>
      <c r="H168" s="58" t="str">
        <f>IF(D32="","",D32)</f>
        <v>consume</v>
      </c>
      <c r="I168" s="58" t="str">
        <f>IF(AND(EXACT(D6,"Yes"),ISTEXT(D6)),B6,"")</f>
        <v/>
      </c>
      <c r="J168" s="58" t="str">
        <f>IF(AND(EXACT(D6,"Yes"),ISTEXT(D6)),E6,"")</f>
        <v/>
      </c>
      <c r="K168" s="18"/>
      <c r="L168" s="70"/>
    </row>
    <row r="169" spans="1:12" s="71" customFormat="1" ht="22.15" customHeight="1" x14ac:dyDescent="0.2">
      <c r="A169" s="67"/>
      <c r="B169" s="68">
        <v>2</v>
      </c>
      <c r="C169" s="69"/>
      <c r="D169" s="68">
        <v>1</v>
      </c>
      <c r="E169" s="58" t="s">
        <v>27</v>
      </c>
      <c r="F169" s="58" t="str">
        <f>IF(B32="","",B32)</f>
        <v>Phase C</v>
      </c>
      <c r="G169" s="64"/>
      <c r="H169" s="58" t="str">
        <f>IF(D32="","",D32)</f>
        <v>consume</v>
      </c>
      <c r="I169" s="58" t="str">
        <f>IF(AND(EXACT(D6,"Yes"),ISTEXT(D6)),B6,"")</f>
        <v/>
      </c>
      <c r="J169" s="58" t="str">
        <f>IF(AND(EXACT(D6,"Yes"),ISTEXT(D6)),E6,"")</f>
        <v/>
      </c>
      <c r="K169" s="18"/>
      <c r="L169" s="70"/>
    </row>
    <row r="170" spans="1:12" s="71" customFormat="1" ht="22.15" customHeight="1" x14ac:dyDescent="0.2">
      <c r="A170" s="67"/>
      <c r="B170" s="68">
        <v>3</v>
      </c>
      <c r="C170" s="69"/>
      <c r="D170" s="68">
        <v>1</v>
      </c>
      <c r="E170" s="58" t="s">
        <v>26</v>
      </c>
      <c r="F170" s="58" t="str">
        <f>IF(B32="","",B32)</f>
        <v>Phase C</v>
      </c>
      <c r="G170" s="64"/>
      <c r="H170" s="58" t="str">
        <f>IF(D33="","",D33)</f>
        <v>produce</v>
      </c>
      <c r="I170" s="58" t="str">
        <f>IF(AND(EXACT(D6,"Yes"),ISTEXT(D6)),B6,"")</f>
        <v/>
      </c>
      <c r="J170" s="58" t="str">
        <f>IF(AND(EXACT(D6,"Yes"),ISTEXT(D6)),E6,"")</f>
        <v/>
      </c>
      <c r="K170" s="18"/>
      <c r="L170" s="70"/>
    </row>
    <row r="171" spans="1:12" s="71" customFormat="1" ht="22.15" customHeight="1" x14ac:dyDescent="0.2">
      <c r="A171" s="67"/>
      <c r="B171" s="68">
        <v>4</v>
      </c>
      <c r="C171" s="69"/>
      <c r="D171" s="68">
        <v>1</v>
      </c>
      <c r="E171" s="58" t="s">
        <v>27</v>
      </c>
      <c r="F171" s="58" t="str">
        <f>IF(B32="","",B32)</f>
        <v>Phase C</v>
      </c>
      <c r="G171" s="64"/>
      <c r="H171" s="58" t="str">
        <f>IF(D33="","",D33)</f>
        <v>produce</v>
      </c>
      <c r="I171" s="58" t="str">
        <f>IF(AND(EXACT(D6,"Yes"),ISTEXT(D6)),B6,"")</f>
        <v/>
      </c>
      <c r="J171" s="58" t="str">
        <f>IF(AND(EXACT(D6,"Yes"),ISTEXT(D6)),E6,"")</f>
        <v/>
      </c>
      <c r="K171" s="18"/>
      <c r="L171" s="70"/>
    </row>
    <row r="172" spans="1:12" s="65" customFormat="1" ht="22.15" customHeight="1" x14ac:dyDescent="0.2">
      <c r="A172" s="66"/>
      <c r="B172" s="118" t="s">
        <v>76</v>
      </c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</row>
    <row r="173" spans="1:12" s="71" customFormat="1" ht="22.15" customHeight="1" x14ac:dyDescent="0.2">
      <c r="A173" s="67"/>
      <c r="B173" s="72" t="s">
        <v>123</v>
      </c>
      <c r="C173" s="69"/>
      <c r="D173" s="68">
        <v>1</v>
      </c>
      <c r="E173" s="58" t="s">
        <v>25</v>
      </c>
      <c r="F173" s="57" t="str">
        <f>IF(B35="","",B35)</f>
        <v>Total consumed energy</v>
      </c>
      <c r="G173" s="64"/>
      <c r="H173" s="58" t="str">
        <f>IF(D35="","",D35)</f>
        <v>consume</v>
      </c>
      <c r="I173" s="58" t="str">
        <f>IF(AND(EXACT(D6,"Yes"),ISTEXT(D6)),B6,"")</f>
        <v/>
      </c>
      <c r="J173" s="58" t="str">
        <f>IF(AND(EXACT(D6,"Yes"),ISTEXT(D6)),E6,"")</f>
        <v/>
      </c>
      <c r="K173" s="18"/>
      <c r="L173" s="70"/>
    </row>
    <row r="174" spans="1:12" s="71" customFormat="1" ht="22.15" customHeight="1" x14ac:dyDescent="0.2">
      <c r="A174" s="67"/>
      <c r="B174" s="72" t="s">
        <v>124</v>
      </c>
      <c r="C174" s="69"/>
      <c r="D174" s="68">
        <v>2</v>
      </c>
      <c r="E174" s="58" t="s">
        <v>25</v>
      </c>
      <c r="F174" s="57" t="str">
        <f>IF(B35="","",B35)</f>
        <v>Total consumed energy</v>
      </c>
      <c r="G174" s="64"/>
      <c r="H174" s="58" t="str">
        <f>IF(D35="","",D35)</f>
        <v>consume</v>
      </c>
      <c r="I174" s="58" t="str">
        <f>IF(AND(EXACT(D7,"Yes"),ISTEXT(D7)),B7,"")</f>
        <v/>
      </c>
      <c r="J174" s="58"/>
      <c r="K174" s="18"/>
      <c r="L174" s="70"/>
    </row>
    <row r="175" spans="1:12" s="65" customFormat="1" ht="22.15" customHeight="1" x14ac:dyDescent="0.2">
      <c r="A175" s="66"/>
      <c r="B175" s="118" t="s">
        <v>77</v>
      </c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</row>
    <row r="176" spans="1:12" s="71" customFormat="1" ht="22.15" customHeight="1" x14ac:dyDescent="0.2">
      <c r="A176" s="67"/>
      <c r="B176" s="68">
        <v>1</v>
      </c>
      <c r="C176" s="69"/>
      <c r="D176" s="68">
        <v>1</v>
      </c>
      <c r="E176" s="58" t="s">
        <v>26</v>
      </c>
      <c r="F176" s="58" t="str">
        <f>IF(B35="","",B35)</f>
        <v>Total consumed energy</v>
      </c>
      <c r="G176" s="64"/>
      <c r="H176" s="58" t="str">
        <f>IF(D35="","",D35)</f>
        <v>consume</v>
      </c>
      <c r="I176" s="58" t="str">
        <f>IF(AND(EXACT(D6,"Yes"),ISTEXT(D6)),B6,"")</f>
        <v/>
      </c>
      <c r="J176" s="58" t="str">
        <f>IF(AND(EXACT(D6,"Yes"),ISTEXT(D6)),E6,"")</f>
        <v/>
      </c>
      <c r="K176" s="18"/>
      <c r="L176" s="70"/>
    </row>
    <row r="177" spans="1:12" s="71" customFormat="1" ht="22.15" customHeight="1" x14ac:dyDescent="0.2">
      <c r="A177" s="67"/>
      <c r="B177" s="68">
        <v>2</v>
      </c>
      <c r="C177" s="69"/>
      <c r="D177" s="68">
        <v>1</v>
      </c>
      <c r="E177" s="58" t="s">
        <v>27</v>
      </c>
      <c r="F177" s="58" t="str">
        <f>IF(B35="","",B35)</f>
        <v>Total consumed energy</v>
      </c>
      <c r="G177" s="64"/>
      <c r="H177" s="58" t="str">
        <f>IF(D35="","",D35)</f>
        <v>consume</v>
      </c>
      <c r="I177" s="58" t="str">
        <f>IF(AND(EXACT(D6,"Yes"),ISTEXT(D6)),B6,"")</f>
        <v/>
      </c>
      <c r="J177" s="58" t="str">
        <f>IF(AND(EXACT(D6,"Yes"),ISTEXT(D6)),E6,"")</f>
        <v/>
      </c>
      <c r="K177" s="18"/>
      <c r="L177" s="70"/>
    </row>
    <row r="178" spans="1:12" s="65" customFormat="1" ht="22.15" customHeight="1" x14ac:dyDescent="0.2">
      <c r="A178" s="66"/>
      <c r="B178" s="118" t="s">
        <v>78</v>
      </c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</row>
    <row r="179" spans="1:12" s="71" customFormat="1" ht="22.15" customHeight="1" x14ac:dyDescent="0.2">
      <c r="A179" s="67"/>
      <c r="B179" s="72" t="s">
        <v>123</v>
      </c>
      <c r="C179" s="69"/>
      <c r="D179" s="68">
        <v>1</v>
      </c>
      <c r="E179" s="58" t="s">
        <v>25</v>
      </c>
      <c r="F179" s="57" t="str">
        <f>IF(B38="","",B38)</f>
        <v>Total produced energy</v>
      </c>
      <c r="G179" s="64"/>
      <c r="H179" s="58" t="str">
        <f>IF(D39="","",D39)</f>
        <v>produce</v>
      </c>
      <c r="I179" s="58" t="str">
        <f>IF(AND(EXACT(D6,"Yes"),ISTEXT(D6)),B6,"")</f>
        <v/>
      </c>
      <c r="J179" s="58" t="str">
        <f>IF(AND(EXACT(D6,"Yes"),ISTEXT(D6)),E6,"")</f>
        <v/>
      </c>
      <c r="K179" s="18"/>
      <c r="L179" s="70"/>
    </row>
    <row r="180" spans="1:12" s="71" customFormat="1" ht="22.15" customHeight="1" x14ac:dyDescent="0.2">
      <c r="A180" s="67"/>
      <c r="B180" s="72" t="s">
        <v>124</v>
      </c>
      <c r="C180" s="69"/>
      <c r="D180" s="68">
        <v>2</v>
      </c>
      <c r="E180" s="58" t="s">
        <v>25</v>
      </c>
      <c r="F180" s="57" t="str">
        <f>IF(B38="","",B38)</f>
        <v>Total produced energy</v>
      </c>
      <c r="G180" s="64"/>
      <c r="H180" s="58" t="str">
        <f>IF(D39="","",D39)</f>
        <v>produce</v>
      </c>
      <c r="I180" s="58" t="str">
        <f>IF(AND(EXACT(D7,"Yes"),ISTEXT(D7)),B7,"")</f>
        <v/>
      </c>
      <c r="J180" s="58"/>
      <c r="K180" s="18"/>
      <c r="L180" s="70"/>
    </row>
    <row r="181" spans="1:12" s="65" customFormat="1" ht="22.15" customHeight="1" x14ac:dyDescent="0.2">
      <c r="A181" s="66"/>
      <c r="B181" s="118" t="s">
        <v>79</v>
      </c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</row>
    <row r="182" spans="1:12" s="71" customFormat="1" ht="22.15" customHeight="1" x14ac:dyDescent="0.2">
      <c r="A182" s="67"/>
      <c r="B182" s="68">
        <v>1</v>
      </c>
      <c r="C182" s="69"/>
      <c r="D182" s="68">
        <v>1</v>
      </c>
      <c r="E182" s="58" t="s">
        <v>26</v>
      </c>
      <c r="F182" s="58" t="str">
        <f>IF(B38="","",B38)</f>
        <v>Total produced energy</v>
      </c>
      <c r="G182" s="64"/>
      <c r="H182" s="58" t="str">
        <f>IF(D39="","",D39)</f>
        <v>produce</v>
      </c>
      <c r="I182" s="58" t="str">
        <f>IF(AND(EXACT(D6,"Yes"),ISTEXT(D6)),B6,"")</f>
        <v/>
      </c>
      <c r="J182" s="58" t="str">
        <f>IF(AND(EXACT(D6,"Yes"),ISTEXT(D6)),E6,"")</f>
        <v/>
      </c>
      <c r="K182" s="18"/>
      <c r="L182" s="70"/>
    </row>
    <row r="183" spans="1:12" s="71" customFormat="1" ht="22.15" customHeight="1" x14ac:dyDescent="0.2">
      <c r="A183" s="73"/>
      <c r="B183" s="68">
        <v>2</v>
      </c>
      <c r="C183" s="69"/>
      <c r="D183" s="68">
        <v>1</v>
      </c>
      <c r="E183" s="58" t="s">
        <v>27</v>
      </c>
      <c r="F183" s="58" t="str">
        <f>IF(B38="","",B38)</f>
        <v>Total produced energy</v>
      </c>
      <c r="G183" s="64"/>
      <c r="H183" s="58" t="str">
        <f>IF(D39="","",D39)</f>
        <v>produce</v>
      </c>
      <c r="I183" s="58" t="str">
        <f>IF(AND(EXACT(D6,"Yes"),ISTEXT(D6)),B6,"")</f>
        <v/>
      </c>
      <c r="J183" s="58" t="str">
        <f>IF(AND(EXACT(D6,"Yes"),ISTEXT(D6)),E6,"")</f>
        <v/>
      </c>
      <c r="K183" s="18"/>
      <c r="L183" s="70"/>
    </row>
    <row r="184" spans="1:12" s="65" customFormat="1" ht="22.15" customHeight="1" x14ac:dyDescent="0.2">
      <c r="A184" s="66"/>
      <c r="B184" s="118" t="s">
        <v>80</v>
      </c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</row>
    <row r="185" spans="1:12" s="71" customFormat="1" ht="22.15" customHeight="1" x14ac:dyDescent="0.2">
      <c r="A185" s="67"/>
      <c r="B185" s="72" t="s">
        <v>123</v>
      </c>
      <c r="C185" s="69"/>
      <c r="D185" s="68">
        <v>1</v>
      </c>
      <c r="E185" s="58" t="s">
        <v>25</v>
      </c>
      <c r="F185" s="57" t="str">
        <f>IF(B41="","",B41)</f>
        <v>Phase A</v>
      </c>
      <c r="G185" s="64"/>
      <c r="H185" s="58" t="str">
        <f>IF(D41="","",D41)</f>
        <v>consume</v>
      </c>
      <c r="I185" s="58" t="str">
        <f>IF(AND(EXACT(D6,"Yes"),ISTEXT(D6)),B6,"")</f>
        <v/>
      </c>
      <c r="J185" s="58" t="str">
        <f>IF(AND(EXACT(D6,"Yes"),ISTEXT(D6)),E6,"")</f>
        <v/>
      </c>
      <c r="K185" s="18"/>
      <c r="L185" s="70"/>
    </row>
    <row r="186" spans="1:12" s="71" customFormat="1" ht="22.15" customHeight="1" x14ac:dyDescent="0.2">
      <c r="A186" s="67"/>
      <c r="B186" s="72" t="s">
        <v>124</v>
      </c>
      <c r="C186" s="69"/>
      <c r="D186" s="68">
        <v>2</v>
      </c>
      <c r="E186" s="58" t="s">
        <v>25</v>
      </c>
      <c r="F186" s="57" t="str">
        <f>IF(B41="","",B41)</f>
        <v>Phase A</v>
      </c>
      <c r="G186" s="64"/>
      <c r="H186" s="58" t="str">
        <f>IF(D41="","",D41)</f>
        <v>consume</v>
      </c>
      <c r="I186" s="58" t="str">
        <f>IF(AND(EXACT(D7,"Yes"),ISTEXT(D7)),B7,"")</f>
        <v/>
      </c>
      <c r="J186" s="58"/>
      <c r="K186" s="18"/>
      <c r="L186" s="70"/>
    </row>
    <row r="187" spans="1:12" s="71" customFormat="1" ht="22.15" customHeight="1" x14ac:dyDescent="0.2">
      <c r="A187" s="67"/>
      <c r="B187" s="72" t="s">
        <v>125</v>
      </c>
      <c r="C187" s="69"/>
      <c r="D187" s="68">
        <v>1</v>
      </c>
      <c r="E187" s="58" t="s">
        <v>25</v>
      </c>
      <c r="F187" s="57" t="str">
        <f>IF(B41="","",B41)</f>
        <v>Phase A</v>
      </c>
      <c r="G187" s="64"/>
      <c r="H187" s="58" t="str">
        <f>IF(D42="","",D42)</f>
        <v>produce</v>
      </c>
      <c r="I187" s="58" t="str">
        <f>IF(AND(EXACT(D6,"Yes"),ISTEXT(D6)),B6,"")</f>
        <v/>
      </c>
      <c r="J187" s="58" t="str">
        <f>IF(AND(EXACT(D6,"Yes"),ISTEXT(D6)),E6,"")</f>
        <v/>
      </c>
      <c r="K187" s="18"/>
      <c r="L187" s="70"/>
    </row>
    <row r="188" spans="1:12" s="71" customFormat="1" ht="22.15" customHeight="1" x14ac:dyDescent="0.2">
      <c r="A188" s="67"/>
      <c r="B188" s="72" t="s">
        <v>126</v>
      </c>
      <c r="C188" s="69"/>
      <c r="D188" s="68">
        <v>2</v>
      </c>
      <c r="E188" s="58" t="s">
        <v>25</v>
      </c>
      <c r="F188" s="57" t="str">
        <f>IF(B41="","",B41)</f>
        <v>Phase A</v>
      </c>
      <c r="G188" s="64"/>
      <c r="H188" s="58" t="str">
        <f>IF(D42="","",D42)</f>
        <v>produce</v>
      </c>
      <c r="I188" s="58" t="str">
        <f>IF(AND(EXACT(D7,"Yes"),ISTEXT(D7)),B7,"")</f>
        <v/>
      </c>
      <c r="J188" s="58"/>
      <c r="K188" s="18"/>
      <c r="L188" s="70"/>
    </row>
    <row r="189" spans="1:12" s="65" customFormat="1" ht="22.15" customHeight="1" x14ac:dyDescent="0.2">
      <c r="A189" s="66"/>
      <c r="B189" s="118" t="s">
        <v>81</v>
      </c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</row>
    <row r="190" spans="1:12" s="71" customFormat="1" ht="22.15" customHeight="1" x14ac:dyDescent="0.2">
      <c r="A190" s="67"/>
      <c r="B190" s="68">
        <v>1</v>
      </c>
      <c r="C190" s="69"/>
      <c r="D190" s="68">
        <v>1</v>
      </c>
      <c r="E190" s="58" t="s">
        <v>26</v>
      </c>
      <c r="F190" s="58" t="str">
        <f>IF(B41="","",B41)</f>
        <v>Phase A</v>
      </c>
      <c r="G190" s="64"/>
      <c r="H190" s="58" t="str">
        <f>IF(D41="","",D41)</f>
        <v>consume</v>
      </c>
      <c r="I190" s="58" t="str">
        <f>IF(AND(EXACT(D6,"Yes"),ISTEXT(D6)),B6,"")</f>
        <v/>
      </c>
      <c r="J190" s="58" t="str">
        <f>IF(AND(EXACT(D6,"Yes"),ISTEXT(D6)),E6,"")</f>
        <v/>
      </c>
      <c r="K190" s="18"/>
      <c r="L190" s="70"/>
    </row>
    <row r="191" spans="1:12" s="71" customFormat="1" ht="22.15" customHeight="1" x14ac:dyDescent="0.2">
      <c r="A191" s="67"/>
      <c r="B191" s="68">
        <v>2</v>
      </c>
      <c r="C191" s="69"/>
      <c r="D191" s="68">
        <v>1</v>
      </c>
      <c r="E191" s="58" t="s">
        <v>27</v>
      </c>
      <c r="F191" s="58" t="str">
        <f>IF(B41="","",B41)</f>
        <v>Phase A</v>
      </c>
      <c r="G191" s="64"/>
      <c r="H191" s="58" t="str">
        <f>IF(D41="","",D41)</f>
        <v>consume</v>
      </c>
      <c r="I191" s="58" t="str">
        <f>IF(AND(EXACT(D6,"Yes"),ISTEXT(D6)),B6,"")</f>
        <v/>
      </c>
      <c r="J191" s="58" t="str">
        <f>IF(AND(EXACT(D6,"Yes"),ISTEXT(D6)),E6,"")</f>
        <v/>
      </c>
      <c r="K191" s="18"/>
      <c r="L191" s="70"/>
    </row>
    <row r="192" spans="1:12" s="71" customFormat="1" ht="22.15" customHeight="1" x14ac:dyDescent="0.2">
      <c r="A192" s="67"/>
      <c r="B192" s="68">
        <v>3</v>
      </c>
      <c r="C192" s="69"/>
      <c r="D192" s="68">
        <v>1</v>
      </c>
      <c r="E192" s="58" t="s">
        <v>26</v>
      </c>
      <c r="F192" s="58" t="str">
        <f>IF(B41="","",B41)</f>
        <v>Phase A</v>
      </c>
      <c r="G192" s="64"/>
      <c r="H192" s="58" t="str">
        <f>IF(D42="","",D42)</f>
        <v>produce</v>
      </c>
      <c r="I192" s="58" t="str">
        <f>IF(AND(EXACT(D6,"Yes"),ISTEXT(D6)),B6,"")</f>
        <v/>
      </c>
      <c r="J192" s="58" t="str">
        <f>IF(AND(EXACT(D6,"Yes"),ISTEXT(D6)),E6,"")</f>
        <v/>
      </c>
      <c r="K192" s="18"/>
      <c r="L192" s="70"/>
    </row>
    <row r="193" spans="1:12" s="71" customFormat="1" ht="22.15" customHeight="1" x14ac:dyDescent="0.2">
      <c r="A193" s="67"/>
      <c r="B193" s="68">
        <v>4</v>
      </c>
      <c r="C193" s="69"/>
      <c r="D193" s="68">
        <v>1</v>
      </c>
      <c r="E193" s="58" t="s">
        <v>27</v>
      </c>
      <c r="F193" s="58" t="str">
        <f>IF(B41="","",B41)</f>
        <v>Phase A</v>
      </c>
      <c r="G193" s="64"/>
      <c r="H193" s="58" t="str">
        <f>IF(D42="","",D42)</f>
        <v>produce</v>
      </c>
      <c r="I193" s="58" t="str">
        <f>IF(AND(EXACT(D6,"Yes"),ISTEXT(D6)),B6,"")</f>
        <v/>
      </c>
      <c r="J193" s="58" t="str">
        <f>IF(AND(EXACT(D6,"Yes"),ISTEXT(D6)),E6,"")</f>
        <v/>
      </c>
      <c r="K193" s="18"/>
      <c r="L193" s="70"/>
    </row>
    <row r="194" spans="1:12" s="65" customFormat="1" ht="22.15" customHeight="1" x14ac:dyDescent="0.2">
      <c r="A194" s="66"/>
      <c r="B194" s="118" t="s">
        <v>82</v>
      </c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</row>
    <row r="195" spans="1:12" s="71" customFormat="1" ht="22.15" customHeight="1" x14ac:dyDescent="0.2">
      <c r="A195" s="67"/>
      <c r="B195" s="72" t="s">
        <v>123</v>
      </c>
      <c r="C195" s="69"/>
      <c r="D195" s="68">
        <v>1</v>
      </c>
      <c r="E195" s="58" t="s">
        <v>25</v>
      </c>
      <c r="F195" s="57" t="str">
        <f>IF(B43="","",B43)</f>
        <v>Phase B</v>
      </c>
      <c r="G195" s="64"/>
      <c r="H195" s="58" t="str">
        <f>IF(D43="","",D43)</f>
        <v>consume</v>
      </c>
      <c r="I195" s="58" t="str">
        <f>IF(AND(EXACT(D6,"Yes"),ISTEXT(D6)),B6,"")</f>
        <v/>
      </c>
      <c r="J195" s="58" t="str">
        <f>IF(AND(EXACT(D6,"Yes"),ISTEXT(D6)),E6,"")</f>
        <v/>
      </c>
      <c r="K195" s="18"/>
      <c r="L195" s="70"/>
    </row>
    <row r="196" spans="1:12" s="71" customFormat="1" ht="22.15" customHeight="1" x14ac:dyDescent="0.2">
      <c r="A196" s="67"/>
      <c r="B196" s="72" t="s">
        <v>124</v>
      </c>
      <c r="C196" s="69"/>
      <c r="D196" s="68">
        <v>2</v>
      </c>
      <c r="E196" s="58" t="s">
        <v>25</v>
      </c>
      <c r="F196" s="57" t="str">
        <f>IF(B43="","",B43)</f>
        <v>Phase B</v>
      </c>
      <c r="G196" s="64"/>
      <c r="H196" s="58" t="str">
        <f>IF(D43="","",D43)</f>
        <v>consume</v>
      </c>
      <c r="I196" s="58" t="str">
        <f>IF(AND(EXACT(D7,"Yes"),ISTEXT(D7)),B7,"")</f>
        <v/>
      </c>
      <c r="J196" s="58"/>
      <c r="K196" s="18"/>
      <c r="L196" s="70"/>
    </row>
    <row r="197" spans="1:12" s="71" customFormat="1" ht="22.15" customHeight="1" x14ac:dyDescent="0.2">
      <c r="A197" s="67"/>
      <c r="B197" s="72" t="s">
        <v>125</v>
      </c>
      <c r="C197" s="69"/>
      <c r="D197" s="68">
        <v>1</v>
      </c>
      <c r="E197" s="58" t="s">
        <v>25</v>
      </c>
      <c r="F197" s="57" t="str">
        <f>IF(B43="","",B43)</f>
        <v>Phase B</v>
      </c>
      <c r="G197" s="64"/>
      <c r="H197" s="58" t="str">
        <f>IF(D44="","",D44)</f>
        <v>produce</v>
      </c>
      <c r="I197" s="58" t="str">
        <f>IF(AND(EXACT(D6,"Yes"),ISTEXT(D6)),B6,"")</f>
        <v/>
      </c>
      <c r="J197" s="58" t="str">
        <f>IF(AND(EXACT(D6,"Yes"),ISTEXT(D6)),E6,"")</f>
        <v/>
      </c>
      <c r="K197" s="18"/>
      <c r="L197" s="70"/>
    </row>
    <row r="198" spans="1:12" s="71" customFormat="1" ht="22.15" customHeight="1" x14ac:dyDescent="0.2">
      <c r="A198" s="67"/>
      <c r="B198" s="72" t="s">
        <v>126</v>
      </c>
      <c r="C198" s="69"/>
      <c r="D198" s="68">
        <v>2</v>
      </c>
      <c r="E198" s="58" t="s">
        <v>25</v>
      </c>
      <c r="F198" s="57" t="str">
        <f>IF(B43="","",B43)</f>
        <v>Phase B</v>
      </c>
      <c r="G198" s="64"/>
      <c r="H198" s="58" t="str">
        <f>IF(D44="","",D44)</f>
        <v>produce</v>
      </c>
      <c r="I198" s="58" t="str">
        <f>IF(AND(EXACT(D7,"Yes"),ISTEXT(D7)),B7,"")</f>
        <v/>
      </c>
      <c r="J198" s="58"/>
      <c r="K198" s="18"/>
      <c r="L198" s="70"/>
    </row>
    <row r="199" spans="1:12" s="65" customFormat="1" ht="22.15" customHeight="1" x14ac:dyDescent="0.2">
      <c r="A199" s="66"/>
      <c r="B199" s="118" t="s">
        <v>83</v>
      </c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</row>
    <row r="200" spans="1:12" s="71" customFormat="1" ht="22.15" customHeight="1" x14ac:dyDescent="0.2">
      <c r="A200" s="67"/>
      <c r="B200" s="68">
        <v>1</v>
      </c>
      <c r="C200" s="69"/>
      <c r="D200" s="68">
        <v>1</v>
      </c>
      <c r="E200" s="58" t="s">
        <v>26</v>
      </c>
      <c r="F200" s="58" t="str">
        <f>IF(B43="","",B43)</f>
        <v>Phase B</v>
      </c>
      <c r="G200" s="64"/>
      <c r="H200" s="58" t="str">
        <f>IF(D43="","",D43)</f>
        <v>consume</v>
      </c>
      <c r="I200" s="58" t="str">
        <f>IF(AND(EXACT(D6,"Yes"),ISTEXT(D6)),B6,"")</f>
        <v/>
      </c>
      <c r="J200" s="58" t="str">
        <f>IF(AND(EXACT(D6,"Yes"),ISTEXT(D6)),E6,"")</f>
        <v/>
      </c>
      <c r="K200" s="18"/>
      <c r="L200" s="70"/>
    </row>
    <row r="201" spans="1:12" s="71" customFormat="1" ht="22.15" customHeight="1" x14ac:dyDescent="0.2">
      <c r="A201" s="67"/>
      <c r="B201" s="68">
        <v>2</v>
      </c>
      <c r="C201" s="69"/>
      <c r="D201" s="68">
        <v>1</v>
      </c>
      <c r="E201" s="58" t="s">
        <v>27</v>
      </c>
      <c r="F201" s="58" t="str">
        <f>IF(B43="","",B43)</f>
        <v>Phase B</v>
      </c>
      <c r="G201" s="64"/>
      <c r="H201" s="58" t="str">
        <f>IF(D43="","",D43)</f>
        <v>consume</v>
      </c>
      <c r="I201" s="58" t="str">
        <f>IF(AND(EXACT(D6,"Yes"),ISTEXT(D6)),B6,"")</f>
        <v/>
      </c>
      <c r="J201" s="58" t="str">
        <f>IF(AND(EXACT(D6,"Yes"),ISTEXT(D6)),E6,"")</f>
        <v/>
      </c>
      <c r="K201" s="18"/>
      <c r="L201" s="70"/>
    </row>
    <row r="202" spans="1:12" s="71" customFormat="1" ht="22.15" customHeight="1" x14ac:dyDescent="0.2">
      <c r="A202" s="67"/>
      <c r="B202" s="68">
        <v>3</v>
      </c>
      <c r="C202" s="69"/>
      <c r="D202" s="68">
        <v>1</v>
      </c>
      <c r="E202" s="58" t="s">
        <v>26</v>
      </c>
      <c r="F202" s="58" t="str">
        <f>IF(B43="","",B43)</f>
        <v>Phase B</v>
      </c>
      <c r="G202" s="64"/>
      <c r="H202" s="58" t="str">
        <f>IF(D44="","",D44)</f>
        <v>produce</v>
      </c>
      <c r="I202" s="58" t="str">
        <f>IF(AND(EXACT(D6,"Yes"),ISTEXT(D6)),B6,"")</f>
        <v/>
      </c>
      <c r="J202" s="58" t="str">
        <f>IF(AND(EXACT(D6,"Yes"),ISTEXT(D6)),E6,"")</f>
        <v/>
      </c>
      <c r="K202" s="18"/>
      <c r="L202" s="70"/>
    </row>
    <row r="203" spans="1:12" s="71" customFormat="1" ht="22.15" customHeight="1" x14ac:dyDescent="0.2">
      <c r="A203" s="67"/>
      <c r="B203" s="68">
        <v>4</v>
      </c>
      <c r="C203" s="69"/>
      <c r="D203" s="68">
        <v>1</v>
      </c>
      <c r="E203" s="58" t="s">
        <v>27</v>
      </c>
      <c r="F203" s="58" t="str">
        <f>IF(B43="","",B43)</f>
        <v>Phase B</v>
      </c>
      <c r="G203" s="64"/>
      <c r="H203" s="58" t="str">
        <f>IF(D44="","",D44)</f>
        <v>produce</v>
      </c>
      <c r="I203" s="58" t="str">
        <f>IF(AND(EXACT(D6,"Yes"),ISTEXT(D6)),B6,"")</f>
        <v/>
      </c>
      <c r="J203" s="58" t="str">
        <f>IF(AND(EXACT(D6,"Yes"),ISTEXT(D6)),E6,"")</f>
        <v/>
      </c>
      <c r="K203" s="18"/>
      <c r="L203" s="70"/>
    </row>
    <row r="204" spans="1:12" s="65" customFormat="1" ht="22.15" customHeight="1" x14ac:dyDescent="0.2">
      <c r="A204" s="66"/>
      <c r="B204" s="118" t="s">
        <v>84</v>
      </c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</row>
    <row r="205" spans="1:12" s="71" customFormat="1" ht="22.15" customHeight="1" x14ac:dyDescent="0.2">
      <c r="A205" s="67"/>
      <c r="B205" s="72" t="s">
        <v>123</v>
      </c>
      <c r="C205" s="69"/>
      <c r="D205" s="68">
        <v>1</v>
      </c>
      <c r="E205" s="58" t="s">
        <v>25</v>
      </c>
      <c r="F205" s="57" t="str">
        <f>IF(B45="","",B45)</f>
        <v>Phase C</v>
      </c>
      <c r="G205" s="64"/>
      <c r="H205" s="58" t="str">
        <f>IF(D45="","",D45)</f>
        <v>consume</v>
      </c>
      <c r="I205" s="58" t="str">
        <f>IF(AND(EXACT(D6,"Yes"),ISTEXT(D6)),B6,"")</f>
        <v/>
      </c>
      <c r="J205" s="58" t="str">
        <f>IF(AND(EXACT(D6,"Yes"),ISTEXT(D6)),E6,"")</f>
        <v/>
      </c>
      <c r="K205" s="18"/>
      <c r="L205" s="70"/>
    </row>
    <row r="206" spans="1:12" s="71" customFormat="1" ht="22.15" customHeight="1" x14ac:dyDescent="0.2">
      <c r="A206" s="67"/>
      <c r="B206" s="72" t="s">
        <v>124</v>
      </c>
      <c r="C206" s="69"/>
      <c r="D206" s="68">
        <v>2</v>
      </c>
      <c r="E206" s="58" t="s">
        <v>25</v>
      </c>
      <c r="F206" s="57" t="str">
        <f>IF(B45="","",B45)</f>
        <v>Phase C</v>
      </c>
      <c r="G206" s="64"/>
      <c r="H206" s="58" t="str">
        <f>IF(D45="","",D45)</f>
        <v>consume</v>
      </c>
      <c r="I206" s="58" t="str">
        <f>IF(AND(EXACT(D7,"Yes"),ISTEXT(D7)),B7,"")</f>
        <v/>
      </c>
      <c r="J206" s="58"/>
      <c r="K206" s="18"/>
      <c r="L206" s="70"/>
    </row>
    <row r="207" spans="1:12" s="71" customFormat="1" ht="22.15" customHeight="1" x14ac:dyDescent="0.2">
      <c r="A207" s="67"/>
      <c r="B207" s="72" t="s">
        <v>125</v>
      </c>
      <c r="C207" s="69"/>
      <c r="D207" s="68">
        <v>1</v>
      </c>
      <c r="E207" s="58" t="s">
        <v>25</v>
      </c>
      <c r="F207" s="57" t="str">
        <f>IF(B45="","",B45)</f>
        <v>Phase C</v>
      </c>
      <c r="G207" s="64"/>
      <c r="H207" s="58" t="str">
        <f>IF(D46="","",D46)</f>
        <v>produce</v>
      </c>
      <c r="I207" s="58" t="str">
        <f>IF(AND(EXACT(D6,"Yes"),ISTEXT(D6)),B6,"")</f>
        <v/>
      </c>
      <c r="J207" s="58" t="str">
        <f>IF(AND(EXACT(D6,"Yes"),ISTEXT(D6)),E6,"")</f>
        <v/>
      </c>
      <c r="K207" s="18"/>
      <c r="L207" s="70"/>
    </row>
    <row r="208" spans="1:12" s="71" customFormat="1" ht="22.15" customHeight="1" x14ac:dyDescent="0.2">
      <c r="A208" s="67"/>
      <c r="B208" s="72" t="s">
        <v>126</v>
      </c>
      <c r="C208" s="69"/>
      <c r="D208" s="68">
        <v>2</v>
      </c>
      <c r="E208" s="58" t="s">
        <v>25</v>
      </c>
      <c r="F208" s="57" t="str">
        <f>IF(B45="","",B45)</f>
        <v>Phase C</v>
      </c>
      <c r="G208" s="64"/>
      <c r="H208" s="58" t="str">
        <f>IF(D46="","",D46)</f>
        <v>produce</v>
      </c>
      <c r="I208" s="58" t="str">
        <f>IF(AND(EXACT(D7,"Yes"),ISTEXT(D7)),B7,"")</f>
        <v/>
      </c>
      <c r="J208" s="58"/>
      <c r="K208" s="18"/>
      <c r="L208" s="70"/>
    </row>
    <row r="209" spans="1:12" s="65" customFormat="1" ht="22.15" customHeight="1" x14ac:dyDescent="0.2">
      <c r="A209" s="66"/>
      <c r="B209" s="118" t="s">
        <v>85</v>
      </c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</row>
    <row r="210" spans="1:12" s="71" customFormat="1" ht="22.15" customHeight="1" x14ac:dyDescent="0.2">
      <c r="A210" s="67"/>
      <c r="B210" s="68">
        <v>1</v>
      </c>
      <c r="C210" s="69"/>
      <c r="D210" s="68">
        <v>1</v>
      </c>
      <c r="E210" s="58" t="s">
        <v>26</v>
      </c>
      <c r="F210" s="58" t="str">
        <f>IF(B45="","",B45)</f>
        <v>Phase C</v>
      </c>
      <c r="G210" s="64"/>
      <c r="H210" s="58" t="str">
        <f>IF(D45="","",D45)</f>
        <v>consume</v>
      </c>
      <c r="I210" s="58" t="str">
        <f>IF(AND(EXACT(D6,"Yes"),ISTEXT(D6)),B6,"")</f>
        <v/>
      </c>
      <c r="J210" s="58" t="str">
        <f>IF(AND(EXACT(D6,"Yes"),ISTEXT(D6)),E6,"")</f>
        <v/>
      </c>
      <c r="K210" s="18"/>
      <c r="L210" s="70"/>
    </row>
    <row r="211" spans="1:12" s="71" customFormat="1" ht="22.15" customHeight="1" x14ac:dyDescent="0.2">
      <c r="A211" s="67"/>
      <c r="B211" s="68">
        <v>2</v>
      </c>
      <c r="C211" s="69"/>
      <c r="D211" s="68">
        <v>1</v>
      </c>
      <c r="E211" s="58" t="s">
        <v>27</v>
      </c>
      <c r="F211" s="58" t="str">
        <f>IF(B45="","",B45)</f>
        <v>Phase C</v>
      </c>
      <c r="G211" s="64"/>
      <c r="H211" s="58" t="str">
        <f>IF(D45="","",D45)</f>
        <v>consume</v>
      </c>
      <c r="I211" s="58" t="str">
        <f>IF(AND(EXACT(D6,"Yes"),ISTEXT(D6)),B6,"")</f>
        <v/>
      </c>
      <c r="J211" s="58" t="str">
        <f>IF(AND(EXACT(D6,"Yes"),ISTEXT(D6)),E6,"")</f>
        <v/>
      </c>
      <c r="K211" s="18"/>
      <c r="L211" s="70"/>
    </row>
    <row r="212" spans="1:12" s="71" customFormat="1" ht="22.15" customHeight="1" x14ac:dyDescent="0.2">
      <c r="A212" s="67"/>
      <c r="B212" s="68">
        <v>3</v>
      </c>
      <c r="C212" s="69"/>
      <c r="D212" s="68">
        <v>1</v>
      </c>
      <c r="E212" s="58" t="s">
        <v>26</v>
      </c>
      <c r="F212" s="58" t="str">
        <f>IF(B45="","",B45)</f>
        <v>Phase C</v>
      </c>
      <c r="G212" s="64"/>
      <c r="H212" s="58" t="str">
        <f>IF(D46="","",D46)</f>
        <v>produce</v>
      </c>
      <c r="I212" s="58" t="str">
        <f>IF(AND(EXACT(D6,"Yes"),ISTEXT(D6)),B6,"")</f>
        <v/>
      </c>
      <c r="J212" s="58" t="str">
        <f>IF(AND(EXACT(D6,"Yes"),ISTEXT(D6)),E6,"")</f>
        <v/>
      </c>
      <c r="K212" s="18"/>
      <c r="L212" s="70"/>
    </row>
    <row r="213" spans="1:12" s="71" customFormat="1" ht="22.15" customHeight="1" x14ac:dyDescent="0.2">
      <c r="A213" s="67"/>
      <c r="B213" s="68">
        <v>4</v>
      </c>
      <c r="C213" s="69"/>
      <c r="D213" s="68">
        <v>1</v>
      </c>
      <c r="E213" s="58" t="s">
        <v>27</v>
      </c>
      <c r="F213" s="58" t="str">
        <f>IF(B45="","",B45)</f>
        <v>Phase C</v>
      </c>
      <c r="G213" s="64"/>
      <c r="H213" s="58" t="str">
        <f>IF(D46="","",D46)</f>
        <v>produce</v>
      </c>
      <c r="I213" s="58" t="str">
        <f>IF(AND(EXACT(D6,"Yes"),ISTEXT(D6)),B6,"")</f>
        <v/>
      </c>
      <c r="J213" s="58" t="str">
        <f>IF(AND(EXACT(D6,"Yes"),ISTEXT(D6)),E6,"")</f>
        <v/>
      </c>
      <c r="K213" s="18"/>
      <c r="L213" s="70"/>
    </row>
    <row r="214" spans="1:12" s="65" customFormat="1" ht="22.15" customHeight="1" x14ac:dyDescent="0.2">
      <c r="A214" s="66"/>
      <c r="B214" s="118" t="s">
        <v>86</v>
      </c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</row>
    <row r="215" spans="1:12" s="71" customFormat="1" ht="22.15" customHeight="1" x14ac:dyDescent="0.2">
      <c r="A215" s="67"/>
      <c r="B215" s="72" t="s">
        <v>123</v>
      </c>
      <c r="C215" s="69"/>
      <c r="D215" s="68">
        <v>1</v>
      </c>
      <c r="E215" s="58" t="s">
        <v>25</v>
      </c>
      <c r="F215" s="57" t="str">
        <f>IF(B48="","",B48)</f>
        <v>Phase A / neutral</v>
      </c>
      <c r="G215" s="64"/>
      <c r="H215" s="58" t="str">
        <f>IF(D48="","",D48)</f>
        <v>any</v>
      </c>
      <c r="I215" s="58" t="str">
        <f>IF(AND(EXACT(D6,"Yes"),ISTEXT(D6)),B6,"")</f>
        <v/>
      </c>
      <c r="J215" s="58" t="str">
        <f>IF(AND(EXACT(D6,"Yes"),ISTEXT(D6)),E6,"")</f>
        <v/>
      </c>
      <c r="K215" s="18"/>
      <c r="L215" s="70"/>
    </row>
    <row r="216" spans="1:12" s="71" customFormat="1" ht="22.15" customHeight="1" x14ac:dyDescent="0.2">
      <c r="A216" s="67"/>
      <c r="B216" s="72" t="s">
        <v>124</v>
      </c>
      <c r="C216" s="69"/>
      <c r="D216" s="68">
        <v>2</v>
      </c>
      <c r="E216" s="58" t="s">
        <v>25</v>
      </c>
      <c r="F216" s="57" t="str">
        <f>IF(B48="","",B48)</f>
        <v>Phase A / neutral</v>
      </c>
      <c r="G216" s="64"/>
      <c r="H216" s="58" t="str">
        <f>IF(D48="","",D48)</f>
        <v>any</v>
      </c>
      <c r="I216" s="58" t="str">
        <f>IF(AND(EXACT(D7,"Yes"),ISTEXT(D7)),B7,"")</f>
        <v/>
      </c>
      <c r="J216" s="58"/>
      <c r="K216" s="18"/>
      <c r="L216" s="70"/>
    </row>
    <row r="217" spans="1:12" s="65" customFormat="1" ht="22.15" customHeight="1" x14ac:dyDescent="0.2">
      <c r="A217" s="66"/>
      <c r="B217" s="118" t="s">
        <v>87</v>
      </c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</row>
    <row r="218" spans="1:12" s="71" customFormat="1" ht="22.15" customHeight="1" x14ac:dyDescent="0.2">
      <c r="A218" s="67"/>
      <c r="B218" s="68">
        <v>1</v>
      </c>
      <c r="C218" s="69"/>
      <c r="D218" s="68">
        <v>1</v>
      </c>
      <c r="E218" s="58" t="s">
        <v>26</v>
      </c>
      <c r="F218" s="58" t="str">
        <f>IF(B48="","",B48)</f>
        <v>Phase A / neutral</v>
      </c>
      <c r="G218" s="18"/>
      <c r="H218" s="58" t="str">
        <f>IF(D48="","",D48)</f>
        <v>any</v>
      </c>
      <c r="I218" s="58" t="str">
        <f>IF(AND(EXACT(D6,"Yes"),ISTEXT(D6)),B6,"")</f>
        <v/>
      </c>
      <c r="J218" s="58" t="str">
        <f>IF(AND(EXACT(D6,"Yes"),ISTEXT(D6)),E6,"")</f>
        <v/>
      </c>
      <c r="K218" s="18"/>
      <c r="L218" s="70"/>
    </row>
    <row r="219" spans="1:12" s="71" customFormat="1" ht="22.15" customHeight="1" x14ac:dyDescent="0.2">
      <c r="A219" s="67"/>
      <c r="B219" s="68">
        <v>2</v>
      </c>
      <c r="C219" s="69"/>
      <c r="D219" s="68">
        <v>1</v>
      </c>
      <c r="E219" s="58" t="s">
        <v>27</v>
      </c>
      <c r="F219" s="58" t="str">
        <f>IF(B48="","",B48)</f>
        <v>Phase A / neutral</v>
      </c>
      <c r="G219" s="18"/>
      <c r="H219" s="58" t="str">
        <f>IF(D48="","",D48)</f>
        <v>any</v>
      </c>
      <c r="I219" s="58" t="str">
        <f>IF(AND(EXACT(D6,"Yes"),ISTEXT(D6)),B6,"")</f>
        <v/>
      </c>
      <c r="J219" s="58" t="str">
        <f>IF(AND(EXACT(D6,"Yes"),ISTEXT(D6)),E6,"")</f>
        <v/>
      </c>
      <c r="K219" s="18"/>
      <c r="L219" s="70"/>
    </row>
    <row r="220" spans="1:12" s="65" customFormat="1" ht="22.15" customHeight="1" x14ac:dyDescent="0.2">
      <c r="A220" s="66"/>
      <c r="B220" s="118" t="s">
        <v>88</v>
      </c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</row>
    <row r="221" spans="1:12" s="71" customFormat="1" ht="22.15" customHeight="1" x14ac:dyDescent="0.2">
      <c r="A221" s="67"/>
      <c r="B221" s="72" t="s">
        <v>123</v>
      </c>
      <c r="C221" s="69"/>
      <c r="D221" s="68">
        <v>1</v>
      </c>
      <c r="E221" s="58" t="s">
        <v>25</v>
      </c>
      <c r="F221" s="57" t="str">
        <f>IF(B49="","",B49)</f>
        <v>Phase B / neutral</v>
      </c>
      <c r="G221" s="64"/>
      <c r="H221" s="58" t="str">
        <f>IF(D49="","",D49)</f>
        <v>any</v>
      </c>
      <c r="I221" s="58" t="str">
        <f>IF(AND(EXACT(D6,"Yes"),ISTEXT(D6)),B6,"")</f>
        <v/>
      </c>
      <c r="J221" s="58" t="str">
        <f>IF(AND(EXACT(D6,"Yes"),ISTEXT(D6)),E6,"")</f>
        <v/>
      </c>
      <c r="K221" s="18"/>
      <c r="L221" s="70"/>
    </row>
    <row r="222" spans="1:12" s="71" customFormat="1" ht="22.15" customHeight="1" x14ac:dyDescent="0.2">
      <c r="A222" s="67"/>
      <c r="B222" s="72" t="s">
        <v>124</v>
      </c>
      <c r="C222" s="69"/>
      <c r="D222" s="68">
        <v>2</v>
      </c>
      <c r="E222" s="58" t="s">
        <v>25</v>
      </c>
      <c r="F222" s="57" t="str">
        <f>IF(B49="","",B49)</f>
        <v>Phase B / neutral</v>
      </c>
      <c r="G222" s="64"/>
      <c r="H222" s="58" t="str">
        <f>IF(D49="","",D49)</f>
        <v>any</v>
      </c>
      <c r="I222" s="58" t="str">
        <f>IF(AND(EXACT(D7,"Yes"),ISTEXT(D7)),B7,"")</f>
        <v/>
      </c>
      <c r="J222" s="58"/>
      <c r="K222" s="18"/>
      <c r="L222" s="70"/>
    </row>
    <row r="223" spans="1:12" s="65" customFormat="1" ht="22.15" customHeight="1" x14ac:dyDescent="0.2">
      <c r="A223" s="66"/>
      <c r="B223" s="118" t="s">
        <v>89</v>
      </c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</row>
    <row r="224" spans="1:12" s="71" customFormat="1" ht="22.15" customHeight="1" x14ac:dyDescent="0.2">
      <c r="A224" s="67"/>
      <c r="B224" s="68">
        <v>1</v>
      </c>
      <c r="C224" s="69"/>
      <c r="D224" s="68">
        <v>1</v>
      </c>
      <c r="E224" s="58" t="s">
        <v>26</v>
      </c>
      <c r="F224" s="58" t="str">
        <f>IF(B49="","",B49)</f>
        <v>Phase B / neutral</v>
      </c>
      <c r="G224" s="18"/>
      <c r="H224" s="58" t="str">
        <f>IF(D49="","",D49)</f>
        <v>any</v>
      </c>
      <c r="I224" s="58" t="str">
        <f>IF(AND(EXACT(D6,"Yes"),ISTEXT(D6)),B6,"")</f>
        <v/>
      </c>
      <c r="J224" s="58" t="str">
        <f>IF(AND(EXACT(D6,"Yes"),ISTEXT(D6)),E6,"")</f>
        <v/>
      </c>
      <c r="K224" s="18"/>
      <c r="L224" s="70"/>
    </row>
    <row r="225" spans="1:12" s="71" customFormat="1" ht="22.15" customHeight="1" x14ac:dyDescent="0.2">
      <c r="A225" s="67"/>
      <c r="B225" s="68">
        <v>2</v>
      </c>
      <c r="C225" s="69"/>
      <c r="D225" s="68">
        <v>1</v>
      </c>
      <c r="E225" s="58" t="s">
        <v>27</v>
      </c>
      <c r="F225" s="58" t="str">
        <f>IF(B49="","",B49)</f>
        <v>Phase B / neutral</v>
      </c>
      <c r="G225" s="18"/>
      <c r="H225" s="58" t="str">
        <f>IF(D49="","",D49)</f>
        <v>any</v>
      </c>
      <c r="I225" s="58" t="str">
        <f>IF(AND(EXACT(D6,"Yes"),ISTEXT(D6)),B6,"")</f>
        <v/>
      </c>
      <c r="J225" s="58" t="str">
        <f>IF(AND(EXACT(D6,"Yes"),ISTEXT(D6)),E6,"")</f>
        <v/>
      </c>
      <c r="K225" s="18"/>
      <c r="L225" s="70"/>
    </row>
    <row r="226" spans="1:12" s="65" customFormat="1" ht="22.15" customHeight="1" x14ac:dyDescent="0.2">
      <c r="A226" s="66"/>
      <c r="B226" s="118" t="s">
        <v>90</v>
      </c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</row>
    <row r="227" spans="1:12" s="71" customFormat="1" ht="22.15" customHeight="1" x14ac:dyDescent="0.2">
      <c r="A227" s="67"/>
      <c r="B227" s="72" t="s">
        <v>123</v>
      </c>
      <c r="C227" s="69"/>
      <c r="D227" s="68">
        <v>1</v>
      </c>
      <c r="E227" s="58" t="s">
        <v>25</v>
      </c>
      <c r="F227" s="57" t="str">
        <f>IF(B50="","",B50)</f>
        <v>Phase C / neutral</v>
      </c>
      <c r="G227" s="64"/>
      <c r="H227" s="58" t="str">
        <f>IF(D50="","",D50)</f>
        <v>any</v>
      </c>
      <c r="I227" s="58" t="str">
        <f>IF(AND(EXACT(D6,"Yes"),ISTEXT(D6)),B6,"")</f>
        <v/>
      </c>
      <c r="J227" s="58" t="str">
        <f>IF(AND(EXACT(D6,"Yes"),ISTEXT(D6)),E6,"")</f>
        <v/>
      </c>
      <c r="K227" s="18"/>
      <c r="L227" s="70"/>
    </row>
    <row r="228" spans="1:12" s="71" customFormat="1" ht="22.15" customHeight="1" x14ac:dyDescent="0.2">
      <c r="A228" s="67"/>
      <c r="B228" s="72" t="s">
        <v>124</v>
      </c>
      <c r="C228" s="69"/>
      <c r="D228" s="68">
        <v>2</v>
      </c>
      <c r="E228" s="58" t="s">
        <v>25</v>
      </c>
      <c r="F228" s="57" t="str">
        <f>IF(B50="","",B50)</f>
        <v>Phase C / neutral</v>
      </c>
      <c r="G228" s="64"/>
      <c r="H228" s="58" t="str">
        <f>IF(D50="","",D50)</f>
        <v>any</v>
      </c>
      <c r="I228" s="58" t="str">
        <f>IF(AND(EXACT(D7,"Yes"),ISTEXT(D7)),B7,"")</f>
        <v/>
      </c>
      <c r="J228" s="58"/>
      <c r="K228" s="18"/>
      <c r="L228" s="70"/>
    </row>
    <row r="229" spans="1:12" s="65" customFormat="1" ht="22.15" customHeight="1" x14ac:dyDescent="0.2">
      <c r="A229" s="66"/>
      <c r="B229" s="118" t="s">
        <v>91</v>
      </c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</row>
    <row r="230" spans="1:12" s="71" customFormat="1" ht="22.15" customHeight="1" x14ac:dyDescent="0.2">
      <c r="A230" s="67"/>
      <c r="B230" s="68">
        <v>1</v>
      </c>
      <c r="C230" s="69"/>
      <c r="D230" s="68">
        <v>1</v>
      </c>
      <c r="E230" s="58" t="s">
        <v>26</v>
      </c>
      <c r="F230" s="58" t="str">
        <f>IF(B50="","",B50)</f>
        <v>Phase C / neutral</v>
      </c>
      <c r="G230" s="18"/>
      <c r="H230" s="58" t="str">
        <f>IF(D50="","",D50)</f>
        <v>any</v>
      </c>
      <c r="I230" s="58" t="str">
        <f>IF(AND(EXACT(D6,"Yes"),ISTEXT(D6)),B6,"")</f>
        <v/>
      </c>
      <c r="J230" s="58" t="str">
        <f>IF(AND(EXACT(D6,"Yes"),ISTEXT(D6)),E6,"")</f>
        <v/>
      </c>
      <c r="K230" s="18"/>
      <c r="L230" s="70"/>
    </row>
    <row r="231" spans="1:12" s="71" customFormat="1" ht="22.15" customHeight="1" x14ac:dyDescent="0.2">
      <c r="A231" s="67"/>
      <c r="B231" s="68">
        <v>2</v>
      </c>
      <c r="C231" s="69"/>
      <c r="D231" s="68">
        <v>1</v>
      </c>
      <c r="E231" s="58" t="s">
        <v>27</v>
      </c>
      <c r="F231" s="58" t="str">
        <f>IF(B50="","",B50)</f>
        <v>Phase C / neutral</v>
      </c>
      <c r="G231" s="18"/>
      <c r="H231" s="58" t="str">
        <f>IF(D50="","",D50)</f>
        <v>any</v>
      </c>
      <c r="I231" s="58" t="str">
        <f>IF(AND(EXACT(D6,"Yes"),ISTEXT(D6)),B6,"")</f>
        <v/>
      </c>
      <c r="J231" s="58" t="str">
        <f>IF(AND(EXACT(D6,"Yes"),ISTEXT(D6)),E6,"")</f>
        <v/>
      </c>
      <c r="K231" s="18"/>
      <c r="L231" s="70"/>
    </row>
    <row r="232" spans="1:12" s="65" customFormat="1" ht="22.15" customHeight="1" x14ac:dyDescent="0.2">
      <c r="A232" s="66"/>
      <c r="B232" s="118" t="s">
        <v>92</v>
      </c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</row>
    <row r="233" spans="1:12" s="71" customFormat="1" ht="22.15" customHeight="1" x14ac:dyDescent="0.2">
      <c r="A233" s="67"/>
      <c r="B233" s="72" t="s">
        <v>123</v>
      </c>
      <c r="C233" s="69"/>
      <c r="D233" s="68">
        <v>1</v>
      </c>
      <c r="E233" s="58" t="s">
        <v>25</v>
      </c>
      <c r="F233" s="57" t="str">
        <f>IF(B51="","",B51)</f>
        <v>Phase A / Phase B</v>
      </c>
      <c r="G233" s="64"/>
      <c r="H233" s="58" t="str">
        <f>IF(D51="","",D51)</f>
        <v>any</v>
      </c>
      <c r="I233" s="58" t="str">
        <f>IF(AND(EXACT(D6,"Yes"),ISTEXT(D6)),B6,"")</f>
        <v/>
      </c>
      <c r="J233" s="58" t="str">
        <f>IF(AND(EXACT(D6,"Yes"),ISTEXT(D6)),E6,"")</f>
        <v/>
      </c>
      <c r="K233" s="18"/>
      <c r="L233" s="70"/>
    </row>
    <row r="234" spans="1:12" s="71" customFormat="1" ht="22.15" customHeight="1" x14ac:dyDescent="0.2">
      <c r="A234" s="67"/>
      <c r="B234" s="72" t="s">
        <v>124</v>
      </c>
      <c r="C234" s="69"/>
      <c r="D234" s="68">
        <v>2</v>
      </c>
      <c r="E234" s="58" t="s">
        <v>25</v>
      </c>
      <c r="F234" s="57" t="str">
        <f>IF(B51="","",B51)</f>
        <v>Phase A / Phase B</v>
      </c>
      <c r="G234" s="64"/>
      <c r="H234" s="58" t="str">
        <f>IF(D51="","",D51)</f>
        <v>any</v>
      </c>
      <c r="I234" s="58" t="str">
        <f>IF(AND(EXACT(D7,"Yes"),ISTEXT(D7)),B7,"")</f>
        <v/>
      </c>
      <c r="J234" s="58"/>
      <c r="K234" s="18"/>
      <c r="L234" s="70"/>
    </row>
    <row r="235" spans="1:12" s="65" customFormat="1" ht="22.15" customHeight="1" x14ac:dyDescent="0.2">
      <c r="A235" s="66"/>
      <c r="B235" s="118" t="s">
        <v>93</v>
      </c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</row>
    <row r="236" spans="1:12" s="71" customFormat="1" ht="22.15" customHeight="1" x14ac:dyDescent="0.2">
      <c r="A236" s="67"/>
      <c r="B236" s="68">
        <v>1</v>
      </c>
      <c r="C236" s="69"/>
      <c r="D236" s="68">
        <v>1</v>
      </c>
      <c r="E236" s="58" t="s">
        <v>26</v>
      </c>
      <c r="F236" s="58" t="str">
        <f>IF(B51="","",B51)</f>
        <v>Phase A / Phase B</v>
      </c>
      <c r="G236" s="18"/>
      <c r="H236" s="58" t="str">
        <f>IF(D51="","",D51)</f>
        <v>any</v>
      </c>
      <c r="I236" s="58" t="str">
        <f>IF(AND(EXACT(D6,"Yes"),ISTEXT(D6)),B6,"")</f>
        <v/>
      </c>
      <c r="J236" s="58" t="str">
        <f>IF(AND(EXACT(D6,"Yes"),ISTEXT(D6)),E6,"")</f>
        <v/>
      </c>
      <c r="K236" s="18"/>
      <c r="L236" s="70"/>
    </row>
    <row r="237" spans="1:12" s="71" customFormat="1" ht="22.15" customHeight="1" x14ac:dyDescent="0.2">
      <c r="A237" s="67"/>
      <c r="B237" s="68">
        <v>2</v>
      </c>
      <c r="C237" s="69"/>
      <c r="D237" s="68">
        <v>1</v>
      </c>
      <c r="E237" s="58" t="s">
        <v>27</v>
      </c>
      <c r="F237" s="58" t="str">
        <f>IF(B51="","",B51)</f>
        <v>Phase A / Phase B</v>
      </c>
      <c r="G237" s="18"/>
      <c r="H237" s="58" t="str">
        <f>IF(D51="","",D51)</f>
        <v>any</v>
      </c>
      <c r="I237" s="58" t="str">
        <f>IF(AND(EXACT(D6,"Yes"),ISTEXT(D6)),B6,"")</f>
        <v/>
      </c>
      <c r="J237" s="58" t="str">
        <f>IF(AND(EXACT(D6,"Yes"),ISTEXT(D6)),E6,"")</f>
        <v/>
      </c>
      <c r="K237" s="18"/>
      <c r="L237" s="70"/>
    </row>
    <row r="238" spans="1:12" s="65" customFormat="1" ht="22.15" customHeight="1" x14ac:dyDescent="0.2">
      <c r="A238" s="66"/>
      <c r="B238" s="118" t="s">
        <v>94</v>
      </c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</row>
    <row r="239" spans="1:12" s="71" customFormat="1" ht="22.15" customHeight="1" x14ac:dyDescent="0.2">
      <c r="A239" s="67"/>
      <c r="B239" s="72" t="s">
        <v>123</v>
      </c>
      <c r="C239" s="69"/>
      <c r="D239" s="68">
        <v>1</v>
      </c>
      <c r="E239" s="58" t="s">
        <v>25</v>
      </c>
      <c r="F239" s="57" t="str">
        <f>IF(B52="","",B52)</f>
        <v>Phase B / Phase C</v>
      </c>
      <c r="G239" s="64"/>
      <c r="H239" s="58" t="str">
        <f>IF(D52="","",D52)</f>
        <v>any</v>
      </c>
      <c r="I239" s="58" t="str">
        <f>IF(AND(EXACT(D6,"Yes"),ISTEXT(D6)),B6,"")</f>
        <v/>
      </c>
      <c r="J239" s="58" t="str">
        <f>IF(AND(EXACT(D6,"Yes"),ISTEXT(D6)),E6,"")</f>
        <v/>
      </c>
      <c r="K239" s="18"/>
      <c r="L239" s="70"/>
    </row>
    <row r="240" spans="1:12" s="71" customFormat="1" ht="22.15" customHeight="1" x14ac:dyDescent="0.2">
      <c r="A240" s="67"/>
      <c r="B240" s="72" t="s">
        <v>124</v>
      </c>
      <c r="C240" s="69"/>
      <c r="D240" s="68">
        <v>2</v>
      </c>
      <c r="E240" s="58" t="s">
        <v>25</v>
      </c>
      <c r="F240" s="57" t="str">
        <f>IF(B52="","",B52)</f>
        <v>Phase B / Phase C</v>
      </c>
      <c r="G240" s="64"/>
      <c r="H240" s="58" t="str">
        <f>IF(D52="","",D52)</f>
        <v>any</v>
      </c>
      <c r="I240" s="58" t="str">
        <f>IF(AND(EXACT(D7,"Yes"),ISTEXT(D7)),B7,"")</f>
        <v/>
      </c>
      <c r="J240" s="58"/>
      <c r="K240" s="18"/>
      <c r="L240" s="70"/>
    </row>
    <row r="241" spans="1:14" s="65" customFormat="1" ht="22.15" customHeight="1" x14ac:dyDescent="0.2">
      <c r="A241" s="66"/>
      <c r="B241" s="118" t="s">
        <v>95</v>
      </c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</row>
    <row r="242" spans="1:14" s="71" customFormat="1" ht="22.15" customHeight="1" x14ac:dyDescent="0.2">
      <c r="A242" s="67"/>
      <c r="B242" s="68">
        <v>1</v>
      </c>
      <c r="C242" s="69"/>
      <c r="D242" s="68">
        <v>1</v>
      </c>
      <c r="E242" s="58" t="s">
        <v>26</v>
      </c>
      <c r="F242" s="58" t="str">
        <f>IF(B52="","",B52)</f>
        <v>Phase B / Phase C</v>
      </c>
      <c r="G242" s="18"/>
      <c r="H242" s="58" t="str">
        <f>IF(D52="","",D52)</f>
        <v>any</v>
      </c>
      <c r="I242" s="58" t="str">
        <f>IF(AND(EXACT(D6,"Yes"),ISTEXT(D6)),B6,"")</f>
        <v/>
      </c>
      <c r="J242" s="58" t="str">
        <f>IF(AND(EXACT(D6,"Yes"),ISTEXT(D6)),E6,"")</f>
        <v/>
      </c>
      <c r="K242" s="18"/>
      <c r="L242" s="70"/>
    </row>
    <row r="243" spans="1:14" s="71" customFormat="1" ht="22.15" customHeight="1" x14ac:dyDescent="0.2">
      <c r="A243" s="67"/>
      <c r="B243" s="68">
        <v>2</v>
      </c>
      <c r="C243" s="69"/>
      <c r="D243" s="68">
        <v>1</v>
      </c>
      <c r="E243" s="58" t="s">
        <v>27</v>
      </c>
      <c r="F243" s="58" t="str">
        <f>IF(B52="","",B52)</f>
        <v>Phase B / Phase C</v>
      </c>
      <c r="G243" s="18"/>
      <c r="H243" s="58" t="str">
        <f>IF(D52="","",D52)</f>
        <v>any</v>
      </c>
      <c r="I243" s="58" t="str">
        <f>IF(AND(EXACT(D6,"Yes"),ISTEXT(D6)),B6,"")</f>
        <v/>
      </c>
      <c r="J243" s="58" t="str">
        <f>IF(AND(EXACT(D6,"Yes"),ISTEXT(D6)),E6,"")</f>
        <v/>
      </c>
      <c r="K243" s="18"/>
      <c r="L243" s="70"/>
    </row>
    <row r="244" spans="1:14" s="65" customFormat="1" ht="22.15" customHeight="1" x14ac:dyDescent="0.2">
      <c r="A244" s="66"/>
      <c r="B244" s="118" t="s">
        <v>96</v>
      </c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</row>
    <row r="245" spans="1:14" s="71" customFormat="1" ht="22.15" customHeight="1" x14ac:dyDescent="0.2">
      <c r="A245" s="67"/>
      <c r="B245" s="72" t="s">
        <v>123</v>
      </c>
      <c r="C245" s="69"/>
      <c r="D245" s="68">
        <v>1</v>
      </c>
      <c r="E245" s="58" t="s">
        <v>25</v>
      </c>
      <c r="F245" s="57" t="str">
        <f>IF(B53="","",B53)</f>
        <v>Phase C / Phase A</v>
      </c>
      <c r="G245" s="64"/>
      <c r="H245" s="58" t="str">
        <f>IF(D53="","",D53)</f>
        <v>any</v>
      </c>
      <c r="I245" s="58" t="str">
        <f>IF(AND(EXACT(D6,"Yes"),ISTEXT(D6)),B6,"")</f>
        <v/>
      </c>
      <c r="J245" s="58" t="str">
        <f>IF(AND(EXACT(D6,"Yes"),ISTEXT(D6)),E6,"")</f>
        <v/>
      </c>
      <c r="K245" s="18"/>
      <c r="L245" s="70"/>
    </row>
    <row r="246" spans="1:14" s="71" customFormat="1" ht="22.15" customHeight="1" x14ac:dyDescent="0.2">
      <c r="A246" s="67"/>
      <c r="B246" s="72" t="s">
        <v>124</v>
      </c>
      <c r="C246" s="69"/>
      <c r="D246" s="68">
        <v>2</v>
      </c>
      <c r="E246" s="58" t="s">
        <v>25</v>
      </c>
      <c r="F246" s="57" t="str">
        <f>IF(B53="","",B53)</f>
        <v>Phase C / Phase A</v>
      </c>
      <c r="G246" s="64"/>
      <c r="H246" s="58" t="str">
        <f>IF(D53="","",D53)</f>
        <v>any</v>
      </c>
      <c r="I246" s="58" t="str">
        <f>IF(AND(EXACT(D7,"Yes"),ISTEXT(D7)),B7,"")</f>
        <v/>
      </c>
      <c r="J246" s="58"/>
      <c r="K246" s="18"/>
      <c r="L246" s="70"/>
    </row>
    <row r="247" spans="1:14" s="65" customFormat="1" ht="22.15" customHeight="1" x14ac:dyDescent="0.2">
      <c r="A247" s="66"/>
      <c r="B247" s="118" t="s">
        <v>97</v>
      </c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</row>
    <row r="248" spans="1:14" s="71" customFormat="1" ht="22.15" customHeight="1" x14ac:dyDescent="0.2">
      <c r="A248" s="67"/>
      <c r="B248" s="68">
        <v>1</v>
      </c>
      <c r="C248" s="69"/>
      <c r="D248" s="68">
        <v>1</v>
      </c>
      <c r="E248" s="58" t="s">
        <v>26</v>
      </c>
      <c r="F248" s="58" t="str">
        <f>IF(B53="","",B53)</f>
        <v>Phase C / Phase A</v>
      </c>
      <c r="G248" s="18"/>
      <c r="H248" s="58" t="str">
        <f>IF(D53="","",D53)</f>
        <v>any</v>
      </c>
      <c r="I248" s="58" t="str">
        <f>IF(AND(EXACT(D6,"Yes"),ISTEXT(D6)),B6,"")</f>
        <v/>
      </c>
      <c r="J248" s="58" t="str">
        <f>IF(AND(EXACT(D6,"Yes"),ISTEXT(D6)),E6,"")</f>
        <v/>
      </c>
      <c r="K248" s="18"/>
      <c r="L248" s="70"/>
    </row>
    <row r="249" spans="1:14" s="71" customFormat="1" ht="22.15" customHeight="1" x14ac:dyDescent="0.2">
      <c r="A249" s="67"/>
      <c r="B249" s="68">
        <v>2</v>
      </c>
      <c r="C249" s="69"/>
      <c r="D249" s="68">
        <v>1</v>
      </c>
      <c r="E249" s="58" t="s">
        <v>27</v>
      </c>
      <c r="F249" s="58" t="str">
        <f>IF(B53="","",B53)</f>
        <v>Phase C / Phase A</v>
      </c>
      <c r="G249" s="18"/>
      <c r="H249" s="58" t="str">
        <f>IF(D53="","",D53)</f>
        <v>any</v>
      </c>
      <c r="I249" s="58" t="str">
        <f>IF(AND(EXACT(D6,"Yes"),ISTEXT(D6)),B6,"")</f>
        <v/>
      </c>
      <c r="J249" s="58" t="str">
        <f>IF(AND(EXACT(D6,"Yes"),ISTEXT(D6)),E6,"")</f>
        <v/>
      </c>
      <c r="K249" s="18"/>
      <c r="L249" s="70"/>
    </row>
    <row r="250" spans="1:14" s="65" customFormat="1" ht="22.15" customHeight="1" x14ac:dyDescent="0.2">
      <c r="A250" s="66"/>
      <c r="B250" s="118" t="s">
        <v>98</v>
      </c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</row>
    <row r="251" spans="1:14" s="71" customFormat="1" ht="22.15" customHeight="1" x14ac:dyDescent="0.2">
      <c r="A251" s="67"/>
      <c r="B251" s="72" t="s">
        <v>123</v>
      </c>
      <c r="C251" s="69"/>
      <c r="D251" s="68">
        <v>1</v>
      </c>
      <c r="E251" s="58" t="s">
        <v>25</v>
      </c>
      <c r="F251" s="57" t="str">
        <f>IF(B55="","",B55)</f>
        <v>Frequency</v>
      </c>
      <c r="G251" s="64"/>
      <c r="H251" s="58" t="str">
        <f>IF(D55="","",D55)</f>
        <v>any</v>
      </c>
      <c r="I251" s="58" t="str">
        <f>IF(AND(EXACT(D6,"Yes"),ISTEXT(D6)),B6,"")</f>
        <v/>
      </c>
      <c r="J251" s="58" t="str">
        <f>IF(AND(EXACT(D6,"Yes"),ISTEXT(D6)),E6,"")</f>
        <v/>
      </c>
      <c r="K251" s="18"/>
      <c r="L251" s="70"/>
    </row>
    <row r="252" spans="1:14" s="71" customFormat="1" ht="22.15" customHeight="1" x14ac:dyDescent="0.2">
      <c r="A252" s="67"/>
      <c r="B252" s="72" t="s">
        <v>124</v>
      </c>
      <c r="C252" s="69"/>
      <c r="D252" s="68">
        <v>2</v>
      </c>
      <c r="E252" s="58" t="s">
        <v>25</v>
      </c>
      <c r="F252" s="57" t="str">
        <f>IF(B55="","",B55)</f>
        <v>Frequency</v>
      </c>
      <c r="G252" s="64"/>
      <c r="H252" s="58" t="str">
        <f>IF(D55="","",D55)</f>
        <v>any</v>
      </c>
      <c r="I252" s="58" t="str">
        <f>IF(AND(EXACT(D7,"Yes"),ISTEXT(D7)),B7,"")</f>
        <v/>
      </c>
      <c r="J252" s="58"/>
      <c r="K252" s="18"/>
      <c r="L252" s="70"/>
    </row>
    <row r="253" spans="1:14" s="65" customFormat="1" ht="22.15" customHeight="1" x14ac:dyDescent="0.2">
      <c r="A253" s="66"/>
      <c r="B253" s="118" t="s">
        <v>99</v>
      </c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</row>
    <row r="254" spans="1:14" s="71" customFormat="1" ht="22.15" customHeight="1" x14ac:dyDescent="0.2">
      <c r="A254" s="67"/>
      <c r="B254" s="68">
        <v>1</v>
      </c>
      <c r="C254" s="69"/>
      <c r="D254" s="68">
        <v>1</v>
      </c>
      <c r="E254" s="58" t="s">
        <v>26</v>
      </c>
      <c r="F254" s="58" t="str">
        <f>IF(B55="","",B55)</f>
        <v>Frequency</v>
      </c>
      <c r="G254" s="18"/>
      <c r="H254" s="58" t="str">
        <f>IF(D55="","",D55)</f>
        <v>any</v>
      </c>
      <c r="I254" s="58" t="str">
        <f>IF(AND(EXACT(D6,"Yes"),ISTEXT(D6)),B6,"")</f>
        <v/>
      </c>
      <c r="J254" s="58" t="str">
        <f>IF(AND(EXACT(D6,"Yes"),ISTEXT(D6)),E6,"")</f>
        <v/>
      </c>
      <c r="K254" s="18"/>
      <c r="L254" s="70"/>
    </row>
    <row r="255" spans="1:14" s="71" customFormat="1" ht="22.15" customHeight="1" x14ac:dyDescent="0.2">
      <c r="A255" s="67"/>
      <c r="B255" s="68">
        <v>2</v>
      </c>
      <c r="C255" s="69"/>
      <c r="D255" s="68">
        <v>1</v>
      </c>
      <c r="E255" s="58" t="s">
        <v>27</v>
      </c>
      <c r="F255" s="58" t="str">
        <f>IF(B55="","",B55)</f>
        <v>Frequency</v>
      </c>
      <c r="G255" s="18"/>
      <c r="H255" s="58" t="str">
        <f>IF(D55="","",D55)</f>
        <v>any</v>
      </c>
      <c r="I255" s="58" t="str">
        <f>IF(AND(EXACT(D6,"Yes"),ISTEXT(D6)),B6,"")</f>
        <v/>
      </c>
      <c r="J255" s="58" t="str">
        <f>IF(AND(EXACT(D6,"Yes"),ISTEXT(D6)),E6,"")</f>
        <v/>
      </c>
      <c r="K255" s="18"/>
      <c r="L255" s="70"/>
    </row>
    <row r="256" spans="1:14" s="65" customFormat="1" ht="12.75" x14ac:dyDescent="0.2">
      <c r="A256" s="1"/>
      <c r="B256" s="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s="65" customFormat="1" ht="12.75" x14ac:dyDescent="0.2">
      <c r="A257" s="1"/>
      <c r="B257" s="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s="65" customFormat="1" ht="12.75" x14ac:dyDescent="0.2">
      <c r="A258" s="1"/>
      <c r="B258" s="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s="65" customFormat="1" ht="12.75" x14ac:dyDescent="0.2">
      <c r="A259" s="1"/>
      <c r="B259" s="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s="65" customFormat="1" ht="12.75" x14ac:dyDescent="0.2">
      <c r="A260" s="1"/>
      <c r="B260" s="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s="65" customFormat="1" ht="12.75" x14ac:dyDescent="0.2">
      <c r="A261" s="1"/>
      <c r="B261" s="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s="65" customFormat="1" ht="12.75" x14ac:dyDescent="0.2">
      <c r="A262" s="1"/>
      <c r="B262" s="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s="65" customFormat="1" ht="12.75" x14ac:dyDescent="0.2">
      <c r="A263" s="1"/>
      <c r="B263" s="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s="65" customFormat="1" ht="12.75" x14ac:dyDescent="0.2">
      <c r="A264" s="1"/>
      <c r="B264" s="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s="65" customFormat="1" ht="12.75" x14ac:dyDescent="0.2">
      <c r="A265" s="1"/>
      <c r="B265" s="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s="65" customFormat="1" ht="12.75" x14ac:dyDescent="0.2">
      <c r="A266" s="1"/>
      <c r="B266" s="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s="65" customFormat="1" ht="12.75" x14ac:dyDescent="0.2">
      <c r="A267" s="1"/>
      <c r="B267" s="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s="65" customFormat="1" ht="12.75" x14ac:dyDescent="0.2">
      <c r="A268" s="1"/>
      <c r="B268" s="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2.75" x14ac:dyDescent="0.2">
      <c r="A269" s="1"/>
      <c r="B269" s="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2.75" x14ac:dyDescent="0.2">
      <c r="A270" s="1"/>
      <c r="B270" s="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2.75" x14ac:dyDescent="0.2">
      <c r="A271" s="1"/>
      <c r="B271" s="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2.75" x14ac:dyDescent="0.2">
      <c r="A272" s="1"/>
      <c r="B272" s="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2.75" x14ac:dyDescent="0.2">
      <c r="A273" s="1"/>
      <c r="B273" s="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2.75" x14ac:dyDescent="0.2">
      <c r="A274" s="1"/>
      <c r="B274" s="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2.75" x14ac:dyDescent="0.2">
      <c r="A275" s="1"/>
      <c r="B275" s="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2.75" x14ac:dyDescent="0.2">
      <c r="A276" s="1"/>
      <c r="B276" s="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2.75" x14ac:dyDescent="0.2">
      <c r="A277" s="1"/>
      <c r="B277" s="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2.75" x14ac:dyDescent="0.2">
      <c r="A278" s="1"/>
      <c r="B278" s="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2.75" x14ac:dyDescent="0.2">
      <c r="A279" s="1"/>
      <c r="B279" s="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2.75" x14ac:dyDescent="0.2">
      <c r="A280" s="1"/>
      <c r="B280" s="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2.75" x14ac:dyDescent="0.2">
      <c r="A281" s="1"/>
      <c r="B281" s="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2.75" x14ac:dyDescent="0.2">
      <c r="A282" s="1"/>
      <c r="B282" s="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2.75" x14ac:dyDescent="0.2">
      <c r="A283" s="1"/>
      <c r="B283" s="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2.75" x14ac:dyDescent="0.2">
      <c r="A284" s="1"/>
      <c r="B284" s="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2.75" x14ac:dyDescent="0.2">
      <c r="A285" s="1"/>
      <c r="B285" s="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2.75" x14ac:dyDescent="0.2">
      <c r="A286" s="1"/>
      <c r="B286" s="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2.75" x14ac:dyDescent="0.2">
      <c r="A287" s="1"/>
      <c r="B287" s="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2.75" x14ac:dyDescent="0.2">
      <c r="A288" s="1"/>
      <c r="B288" s="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2.75" x14ac:dyDescent="0.2">
      <c r="A289" s="1"/>
      <c r="B289" s="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2.75" x14ac:dyDescent="0.2">
      <c r="A290" s="1"/>
      <c r="B290" s="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2.75" x14ac:dyDescent="0.2">
      <c r="A291" s="1"/>
      <c r="B291" s="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2.75" x14ac:dyDescent="0.2">
      <c r="A292" s="1"/>
      <c r="B292" s="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2.75" x14ac:dyDescent="0.2">
      <c r="A293" s="1"/>
      <c r="B293" s="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2.75" x14ac:dyDescent="0.2">
      <c r="A294" s="1"/>
      <c r="B294" s="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2.75" x14ac:dyDescent="0.2">
      <c r="A295" s="1"/>
      <c r="B295" s="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2.75" x14ac:dyDescent="0.2">
      <c r="A296" s="1"/>
      <c r="B296" s="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2.75" x14ac:dyDescent="0.2">
      <c r="A297" s="1"/>
      <c r="B297" s="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2.75" x14ac:dyDescent="0.2">
      <c r="A298" s="1"/>
      <c r="B298" s="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2.75" x14ac:dyDescent="0.2">
      <c r="A299" s="1"/>
      <c r="B299" s="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2.75" x14ac:dyDescent="0.2">
      <c r="A300" s="1"/>
      <c r="B300" s="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12.75" x14ac:dyDescent="0.2">
      <c r="A301" s="1"/>
      <c r="B301" s="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12.75" x14ac:dyDescent="0.2">
      <c r="A302" s="1"/>
      <c r="B302" s="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2.75" x14ac:dyDescent="0.2">
      <c r="A303" s="1"/>
      <c r="B303" s="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2.75" x14ac:dyDescent="0.2">
      <c r="A304" s="1"/>
      <c r="B304" s="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2.75" x14ac:dyDescent="0.2">
      <c r="A305" s="1"/>
      <c r="B305" s="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2.75" x14ac:dyDescent="0.2">
      <c r="A306" s="1"/>
      <c r="B306" s="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12.75" x14ac:dyDescent="0.2">
      <c r="A307" s="1"/>
      <c r="B307" s="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12.75" x14ac:dyDescent="0.2">
      <c r="A308" s="1"/>
      <c r="B308" s="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12.75" x14ac:dyDescent="0.2">
      <c r="A309" s="1"/>
      <c r="B309" s="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12.75" x14ac:dyDescent="0.2">
      <c r="A310" s="1"/>
      <c r="B310" s="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12.75" x14ac:dyDescent="0.2">
      <c r="A311" s="1"/>
      <c r="B311" s="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12.75" x14ac:dyDescent="0.2">
      <c r="A312" s="1"/>
      <c r="B312" s="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12.75" x14ac:dyDescent="0.2">
      <c r="A313" s="1"/>
      <c r="B313" s="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12.75" x14ac:dyDescent="0.2">
      <c r="A314" s="1"/>
      <c r="B314" s="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12.75" x14ac:dyDescent="0.2">
      <c r="A315" s="1"/>
      <c r="B315" s="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2.75" x14ac:dyDescent="0.2">
      <c r="A316" s="1"/>
      <c r="B316" s="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2.75" x14ac:dyDescent="0.2">
      <c r="A317" s="1"/>
      <c r="B317" s="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2.75" x14ac:dyDescent="0.2">
      <c r="A318" s="1"/>
      <c r="B318" s="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2.75" x14ac:dyDescent="0.2">
      <c r="A319" s="1"/>
      <c r="B319" s="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2.75" x14ac:dyDescent="0.2">
      <c r="A320" s="1"/>
      <c r="B320" s="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2.75" x14ac:dyDescent="0.2">
      <c r="A321" s="1"/>
      <c r="B321" s="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2.75" x14ac:dyDescent="0.2">
      <c r="A322" s="1"/>
      <c r="B322" s="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2.75" x14ac:dyDescent="0.2">
      <c r="A323" s="1"/>
      <c r="B323" s="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2.75" x14ac:dyDescent="0.2">
      <c r="A324" s="1"/>
      <c r="B324" s="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2.75" x14ac:dyDescent="0.2">
      <c r="A325" s="1"/>
      <c r="B325" s="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2.75" x14ac:dyDescent="0.2">
      <c r="A326" s="1"/>
      <c r="B326" s="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2.75" x14ac:dyDescent="0.2">
      <c r="A327" s="1"/>
      <c r="B327" s="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2.75" x14ac:dyDescent="0.2">
      <c r="A328" s="1"/>
      <c r="B328" s="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2.75" x14ac:dyDescent="0.2">
      <c r="A329" s="1"/>
      <c r="B329" s="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2.75" x14ac:dyDescent="0.2">
      <c r="A330" s="1"/>
      <c r="B330" s="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2.75" x14ac:dyDescent="0.2">
      <c r="A331" s="1"/>
      <c r="B331" s="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2.75" x14ac:dyDescent="0.2">
      <c r="A332" s="1"/>
      <c r="B332" s="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2.75" x14ac:dyDescent="0.2">
      <c r="A333" s="1"/>
      <c r="B333" s="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2.75" x14ac:dyDescent="0.2">
      <c r="A334" s="1"/>
      <c r="B334" s="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2.75" x14ac:dyDescent="0.2">
      <c r="A335" s="1"/>
      <c r="B335" s="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2.75" x14ac:dyDescent="0.2">
      <c r="A336" s="1"/>
      <c r="B336" s="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2.75" x14ac:dyDescent="0.2">
      <c r="A337" s="1"/>
      <c r="B337" s="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2.75" x14ac:dyDescent="0.2">
      <c r="A338" s="1"/>
      <c r="B338" s="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2.75" x14ac:dyDescent="0.2">
      <c r="A339" s="1"/>
      <c r="B339" s="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2.75" x14ac:dyDescent="0.2">
      <c r="A340" s="1"/>
      <c r="B340" s="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2.75" x14ac:dyDescent="0.2">
      <c r="A341" s="1"/>
      <c r="B341" s="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2.75" x14ac:dyDescent="0.2">
      <c r="A342" s="1"/>
      <c r="B342" s="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2.75" x14ac:dyDescent="0.2">
      <c r="A343" s="1"/>
      <c r="B343" s="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2.75" x14ac:dyDescent="0.2">
      <c r="A344" s="1"/>
      <c r="B344" s="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2.75" x14ac:dyDescent="0.2">
      <c r="A345" s="1"/>
      <c r="B345" s="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2.75" x14ac:dyDescent="0.2">
      <c r="A346" s="1"/>
      <c r="B346" s="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2.75" x14ac:dyDescent="0.2">
      <c r="A347" s="1"/>
      <c r="B347" s="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2.75" x14ac:dyDescent="0.2">
      <c r="A348" s="1"/>
      <c r="B348" s="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2.75" x14ac:dyDescent="0.2">
      <c r="A349" s="1"/>
      <c r="B349" s="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2.75" x14ac:dyDescent="0.2">
      <c r="A350" s="1"/>
      <c r="B350" s="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2.75" x14ac:dyDescent="0.2">
      <c r="A351" s="1"/>
      <c r="B351" s="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2.75" x14ac:dyDescent="0.2">
      <c r="A352" s="1"/>
      <c r="B352" s="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2.75" x14ac:dyDescent="0.2">
      <c r="A353" s="1"/>
      <c r="B353" s="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2.75" x14ac:dyDescent="0.2">
      <c r="A354" s="1"/>
      <c r="B354" s="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2.75" x14ac:dyDescent="0.2">
      <c r="A355" s="1"/>
      <c r="B355" s="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2.75" x14ac:dyDescent="0.2">
      <c r="A356" s="1"/>
      <c r="B356" s="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2.75" x14ac:dyDescent="0.2">
      <c r="A357" s="1"/>
      <c r="B357" s="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2.75" x14ac:dyDescent="0.2">
      <c r="A358" s="1"/>
      <c r="B358" s="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2.75" x14ac:dyDescent="0.2">
      <c r="A359" s="1"/>
      <c r="B359" s="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2.75" x14ac:dyDescent="0.2">
      <c r="A360" s="1"/>
      <c r="B360" s="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2.75" x14ac:dyDescent="0.2">
      <c r="A361" s="1"/>
      <c r="B361" s="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2.75" x14ac:dyDescent="0.2">
      <c r="A362" s="1"/>
      <c r="B362" s="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2.75" x14ac:dyDescent="0.2">
      <c r="A363" s="1"/>
      <c r="B363" s="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2.75" x14ac:dyDescent="0.2">
      <c r="A364" s="1"/>
      <c r="B364" s="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2.75" x14ac:dyDescent="0.2">
      <c r="A365" s="1"/>
      <c r="B365" s="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2.75" x14ac:dyDescent="0.2">
      <c r="A366" s="1"/>
      <c r="B366" s="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2.75" x14ac:dyDescent="0.2">
      <c r="A367" s="1"/>
      <c r="B367" s="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2.75" x14ac:dyDescent="0.2">
      <c r="A368" s="1"/>
      <c r="B368" s="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2.75" x14ac:dyDescent="0.2">
      <c r="A369" s="1"/>
      <c r="B369" s="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2.75" x14ac:dyDescent="0.2">
      <c r="A370" s="1"/>
      <c r="B370" s="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2.75" x14ac:dyDescent="0.2">
      <c r="A371" s="1"/>
      <c r="B371" s="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2.75" x14ac:dyDescent="0.2">
      <c r="A372" s="1"/>
      <c r="B372" s="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2.75" x14ac:dyDescent="0.2">
      <c r="A373" s="1"/>
      <c r="B373" s="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2.75" x14ac:dyDescent="0.2">
      <c r="A374" s="1"/>
      <c r="B374" s="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2.75" x14ac:dyDescent="0.2">
      <c r="A375" s="1"/>
      <c r="B375" s="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2.75" x14ac:dyDescent="0.2">
      <c r="A376" s="1"/>
      <c r="B376" s="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2.75" x14ac:dyDescent="0.2">
      <c r="A377" s="1"/>
      <c r="B377" s="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2.75" x14ac:dyDescent="0.2">
      <c r="A378" s="1"/>
      <c r="B378" s="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2.75" x14ac:dyDescent="0.2">
      <c r="A379" s="1"/>
      <c r="B379" s="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2.75" x14ac:dyDescent="0.2">
      <c r="A380" s="1"/>
      <c r="B380" s="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2.75" x14ac:dyDescent="0.2">
      <c r="A381" s="1"/>
      <c r="B381" s="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2.75" x14ac:dyDescent="0.2">
      <c r="A382" s="1"/>
      <c r="B382" s="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2.75" x14ac:dyDescent="0.2">
      <c r="A383" s="1"/>
      <c r="B383" s="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2.75" x14ac:dyDescent="0.2">
      <c r="A384" s="1"/>
      <c r="B384" s="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2.75" x14ac:dyDescent="0.2">
      <c r="A385" s="1"/>
      <c r="B385" s="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2.75" x14ac:dyDescent="0.2">
      <c r="A386" s="1"/>
      <c r="B386" s="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2.75" x14ac:dyDescent="0.2">
      <c r="A387" s="1"/>
      <c r="B387" s="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2.75" x14ac:dyDescent="0.2">
      <c r="A388" s="1"/>
      <c r="B388" s="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2.75" x14ac:dyDescent="0.2">
      <c r="A389" s="1"/>
      <c r="B389" s="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2.75" x14ac:dyDescent="0.2">
      <c r="A390" s="1"/>
      <c r="B390" s="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2.75" x14ac:dyDescent="0.2">
      <c r="A391" s="1"/>
      <c r="B391" s="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2.75" x14ac:dyDescent="0.2">
      <c r="A392" s="1"/>
      <c r="B392" s="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2.75" x14ac:dyDescent="0.2">
      <c r="A393" s="1"/>
      <c r="B393" s="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2.75" x14ac:dyDescent="0.2">
      <c r="A394" s="1"/>
      <c r="B394" s="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2.75" x14ac:dyDescent="0.2">
      <c r="A395" s="1"/>
      <c r="B395" s="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2.75" x14ac:dyDescent="0.2">
      <c r="A396" s="1"/>
      <c r="B396" s="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2.75" x14ac:dyDescent="0.2">
      <c r="A397" s="1"/>
      <c r="B397" s="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2.75" x14ac:dyDescent="0.2">
      <c r="A398" s="1"/>
      <c r="B398" s="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2.75" x14ac:dyDescent="0.2">
      <c r="A399" s="1"/>
      <c r="B399" s="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2.75" x14ac:dyDescent="0.2">
      <c r="A400" s="1"/>
      <c r="B400" s="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2.75" x14ac:dyDescent="0.2">
      <c r="A401" s="1"/>
      <c r="B401" s="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2.75" x14ac:dyDescent="0.2">
      <c r="A402" s="1"/>
      <c r="B402" s="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2.75" x14ac:dyDescent="0.2">
      <c r="A403" s="1"/>
      <c r="B403" s="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2.75" x14ac:dyDescent="0.2">
      <c r="A404" s="1"/>
      <c r="B404" s="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2.75" x14ac:dyDescent="0.2">
      <c r="A405" s="1"/>
      <c r="B405" s="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2.75" x14ac:dyDescent="0.2">
      <c r="A406" s="1"/>
      <c r="B406" s="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2.75" x14ac:dyDescent="0.2">
      <c r="A407" s="1"/>
      <c r="B407" s="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2.75" x14ac:dyDescent="0.2">
      <c r="A408" s="1"/>
      <c r="B408" s="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2.75" x14ac:dyDescent="0.2">
      <c r="A409" s="1"/>
      <c r="B409" s="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2.75" x14ac:dyDescent="0.2">
      <c r="A410" s="1"/>
      <c r="B410" s="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2.75" x14ac:dyDescent="0.2">
      <c r="A411" s="1"/>
      <c r="B411" s="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2.75" x14ac:dyDescent="0.2">
      <c r="A412" s="1"/>
      <c r="B412" s="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2.75" x14ac:dyDescent="0.2">
      <c r="A413" s="1"/>
      <c r="B413" s="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2.75" x14ac:dyDescent="0.2">
      <c r="A414" s="1"/>
      <c r="B414" s="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2.75" x14ac:dyDescent="0.2">
      <c r="A415" s="1"/>
      <c r="B415" s="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2.75" x14ac:dyDescent="0.2">
      <c r="A416" s="1"/>
      <c r="B416" s="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2.75" x14ac:dyDescent="0.2">
      <c r="A417" s="1"/>
      <c r="B417" s="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2.75" x14ac:dyDescent="0.2">
      <c r="A418" s="1"/>
      <c r="B418" s="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2.75" x14ac:dyDescent="0.2">
      <c r="A419" s="1"/>
      <c r="B419" s="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2.75" x14ac:dyDescent="0.2">
      <c r="A420" s="1"/>
      <c r="B420" s="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2.75" x14ac:dyDescent="0.2">
      <c r="A421" s="1"/>
      <c r="B421" s="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2.75" x14ac:dyDescent="0.2">
      <c r="A422" s="1"/>
      <c r="B422" s="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2.75" x14ac:dyDescent="0.2">
      <c r="A423" s="1"/>
      <c r="B423" s="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2.75" x14ac:dyDescent="0.2">
      <c r="A424" s="1"/>
      <c r="B424" s="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2.75" x14ac:dyDescent="0.2">
      <c r="A425" s="1"/>
      <c r="B425" s="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2.75" x14ac:dyDescent="0.2">
      <c r="A426" s="1"/>
      <c r="B426" s="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2.75" x14ac:dyDescent="0.2">
      <c r="A427" s="1"/>
      <c r="B427" s="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2.75" x14ac:dyDescent="0.2">
      <c r="A428" s="1"/>
      <c r="B428" s="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2.75" x14ac:dyDescent="0.2">
      <c r="A429" s="1"/>
      <c r="B429" s="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2.75" x14ac:dyDescent="0.2">
      <c r="A430" s="1"/>
      <c r="B430" s="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2.75" x14ac:dyDescent="0.2">
      <c r="A431" s="1"/>
      <c r="B431" s="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2.75" x14ac:dyDescent="0.2">
      <c r="A432" s="1"/>
      <c r="B432" s="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2.75" x14ac:dyDescent="0.2">
      <c r="A433" s="1"/>
      <c r="B433" s="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2.75" x14ac:dyDescent="0.2">
      <c r="A434" s="1"/>
      <c r="B434" s="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2.75" x14ac:dyDescent="0.2">
      <c r="A435" s="1"/>
      <c r="B435" s="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2.75" x14ac:dyDescent="0.2">
      <c r="A436" s="1"/>
      <c r="B436" s="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2.75" x14ac:dyDescent="0.2">
      <c r="A437" s="1"/>
      <c r="B437" s="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2.75" x14ac:dyDescent="0.2">
      <c r="A438" s="1"/>
      <c r="B438" s="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2.75" x14ac:dyDescent="0.2">
      <c r="A439" s="1"/>
      <c r="B439" s="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2.75" x14ac:dyDescent="0.2">
      <c r="A440" s="1"/>
      <c r="B440" s="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2.75" x14ac:dyDescent="0.2">
      <c r="A441" s="1"/>
      <c r="B441" s="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2.75" x14ac:dyDescent="0.2">
      <c r="A442" s="1"/>
      <c r="B442" s="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2.75" x14ac:dyDescent="0.2">
      <c r="A443" s="1"/>
      <c r="B443" s="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2.75" x14ac:dyDescent="0.2">
      <c r="A444" s="1"/>
      <c r="B444" s="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2.75" x14ac:dyDescent="0.2">
      <c r="A445" s="1"/>
      <c r="B445" s="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2.75" x14ac:dyDescent="0.2">
      <c r="A446" s="1"/>
      <c r="B446" s="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2.75" x14ac:dyDescent="0.2">
      <c r="A447" s="1"/>
      <c r="B447" s="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2.75" x14ac:dyDescent="0.2">
      <c r="A448" s="1"/>
      <c r="B448" s="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2.75" x14ac:dyDescent="0.2">
      <c r="A449" s="1"/>
      <c r="B449" s="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2.75" x14ac:dyDescent="0.2">
      <c r="A450" s="1"/>
      <c r="B450" s="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2.75" x14ac:dyDescent="0.2">
      <c r="A451" s="1"/>
      <c r="B451" s="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2.75" x14ac:dyDescent="0.2">
      <c r="A452" s="1"/>
      <c r="B452" s="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2.75" x14ac:dyDescent="0.2">
      <c r="A453" s="1"/>
      <c r="B453" s="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2.75" x14ac:dyDescent="0.2">
      <c r="A454" s="1"/>
      <c r="B454" s="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2.75" x14ac:dyDescent="0.2">
      <c r="A455" s="1"/>
      <c r="B455" s="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2.75" x14ac:dyDescent="0.2">
      <c r="A456" s="1"/>
      <c r="B456" s="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2.75" x14ac:dyDescent="0.2">
      <c r="A457" s="1"/>
      <c r="B457" s="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2.75" x14ac:dyDescent="0.2">
      <c r="A458" s="1"/>
      <c r="B458" s="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2.75" x14ac:dyDescent="0.2">
      <c r="A459" s="1"/>
      <c r="B459" s="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2.75" x14ac:dyDescent="0.2">
      <c r="A460" s="1"/>
      <c r="B460" s="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2.75" x14ac:dyDescent="0.2">
      <c r="A461" s="1"/>
      <c r="B461" s="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2.75" x14ac:dyDescent="0.2">
      <c r="A462" s="1"/>
      <c r="B462" s="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2.75" x14ac:dyDescent="0.2">
      <c r="A463" s="1"/>
      <c r="B463" s="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2.75" x14ac:dyDescent="0.2">
      <c r="A464" s="1"/>
      <c r="B464" s="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2.75" x14ac:dyDescent="0.2">
      <c r="A465" s="1"/>
      <c r="B465" s="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2.75" x14ac:dyDescent="0.2">
      <c r="A466" s="1"/>
      <c r="B466" s="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2.75" x14ac:dyDescent="0.2">
      <c r="A467" s="1"/>
      <c r="B467" s="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2.75" x14ac:dyDescent="0.2">
      <c r="A468" s="1"/>
      <c r="B468" s="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2.75" x14ac:dyDescent="0.2">
      <c r="A469" s="1"/>
      <c r="B469" s="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2.75" x14ac:dyDescent="0.2">
      <c r="A470" s="1"/>
      <c r="B470" s="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2.75" x14ac:dyDescent="0.2">
      <c r="A471" s="1"/>
      <c r="B471" s="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2.75" x14ac:dyDescent="0.2">
      <c r="A472" s="1"/>
      <c r="B472" s="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2.75" x14ac:dyDescent="0.2">
      <c r="A473" s="1"/>
      <c r="B473" s="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2.75" x14ac:dyDescent="0.2">
      <c r="A474" s="1"/>
      <c r="B474" s="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2.75" x14ac:dyDescent="0.2">
      <c r="A475" s="1"/>
      <c r="B475" s="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2.75" x14ac:dyDescent="0.2">
      <c r="A476" s="1"/>
      <c r="B476" s="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2.75" x14ac:dyDescent="0.2">
      <c r="A477" s="1"/>
      <c r="B477" s="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2.75" x14ac:dyDescent="0.2">
      <c r="A478" s="1"/>
      <c r="B478" s="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2.75" x14ac:dyDescent="0.2">
      <c r="A479" s="1"/>
      <c r="B479" s="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2.75" x14ac:dyDescent="0.2">
      <c r="A480" s="1"/>
      <c r="B480" s="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2.75" x14ac:dyDescent="0.2">
      <c r="A481" s="1"/>
      <c r="B481" s="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2.75" x14ac:dyDescent="0.2">
      <c r="A482" s="1"/>
      <c r="B482" s="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2.75" x14ac:dyDescent="0.2">
      <c r="A483" s="1"/>
      <c r="B483" s="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2.75" x14ac:dyDescent="0.2">
      <c r="A484" s="1"/>
      <c r="B484" s="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2.75" x14ac:dyDescent="0.2">
      <c r="A485" s="1"/>
      <c r="B485" s="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2.75" x14ac:dyDescent="0.2">
      <c r="A486" s="1"/>
      <c r="B486" s="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2.75" x14ac:dyDescent="0.2">
      <c r="A487" s="1"/>
      <c r="B487" s="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2.75" x14ac:dyDescent="0.2">
      <c r="A488" s="1"/>
      <c r="B488" s="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2.75" x14ac:dyDescent="0.2">
      <c r="A489" s="1"/>
      <c r="B489" s="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2.75" x14ac:dyDescent="0.2">
      <c r="A490" s="1"/>
      <c r="B490" s="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2.75" x14ac:dyDescent="0.2">
      <c r="A491" s="1"/>
      <c r="B491" s="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2.75" x14ac:dyDescent="0.2">
      <c r="A492" s="1"/>
      <c r="B492" s="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2.75" x14ac:dyDescent="0.2">
      <c r="A493" s="1"/>
      <c r="B493" s="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2.75" x14ac:dyDescent="0.2">
      <c r="A494" s="1"/>
      <c r="B494" s="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2.75" x14ac:dyDescent="0.2">
      <c r="A495" s="1"/>
      <c r="B495" s="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2.75" x14ac:dyDescent="0.2">
      <c r="A496" s="1"/>
      <c r="B496" s="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2.75" x14ac:dyDescent="0.2">
      <c r="A497" s="1"/>
      <c r="B497" s="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2.75" x14ac:dyDescent="0.2">
      <c r="A498" s="1"/>
      <c r="B498" s="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2.75" x14ac:dyDescent="0.2">
      <c r="A499" s="1"/>
      <c r="B499" s="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2.75" x14ac:dyDescent="0.2">
      <c r="A500" s="1"/>
      <c r="B500" s="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2.75" x14ac:dyDescent="0.2">
      <c r="A501" s="1"/>
      <c r="B501" s="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2.75" x14ac:dyDescent="0.2">
      <c r="A502" s="1"/>
      <c r="B502" s="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2.75" x14ac:dyDescent="0.2">
      <c r="A503" s="1"/>
      <c r="B503" s="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2.75" x14ac:dyDescent="0.2">
      <c r="A504" s="1"/>
      <c r="B504" s="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2.75" x14ac:dyDescent="0.2">
      <c r="A505" s="1"/>
      <c r="B505" s="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2.75" x14ac:dyDescent="0.2">
      <c r="A506" s="1"/>
      <c r="B506" s="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2.75" x14ac:dyDescent="0.2">
      <c r="A507" s="1"/>
      <c r="B507" s="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2.75" x14ac:dyDescent="0.2">
      <c r="A508" s="1"/>
      <c r="B508" s="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2.75" x14ac:dyDescent="0.2">
      <c r="A509" s="1"/>
      <c r="B509" s="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2.75" x14ac:dyDescent="0.2">
      <c r="A510" s="1"/>
      <c r="B510" s="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2.75" x14ac:dyDescent="0.2">
      <c r="A511" s="1"/>
      <c r="B511" s="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2.75" x14ac:dyDescent="0.2">
      <c r="A512" s="1"/>
      <c r="B512" s="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2.75" x14ac:dyDescent="0.2">
      <c r="A513" s="1"/>
      <c r="B513" s="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2.75" x14ac:dyDescent="0.2">
      <c r="A514" s="1"/>
      <c r="B514" s="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2.75" x14ac:dyDescent="0.2">
      <c r="A515" s="1"/>
      <c r="B515" s="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12.75" x14ac:dyDescent="0.2">
      <c r="A516" s="1"/>
      <c r="B516" s="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12.75" x14ac:dyDescent="0.2">
      <c r="A517" s="1"/>
      <c r="B517" s="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12.75" x14ac:dyDescent="0.2">
      <c r="A518" s="1"/>
      <c r="B518" s="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12.75" x14ac:dyDescent="0.2">
      <c r="A519" s="1"/>
      <c r="B519" s="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12.75" x14ac:dyDescent="0.2">
      <c r="A520" s="1"/>
      <c r="B520" s="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2.75" x14ac:dyDescent="0.2">
      <c r="A521" s="1"/>
      <c r="B521" s="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12.75" x14ac:dyDescent="0.2">
      <c r="A522" s="1"/>
      <c r="B522" s="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12.75" x14ac:dyDescent="0.2">
      <c r="A523" s="1"/>
      <c r="B523" s="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12.75" x14ac:dyDescent="0.2">
      <c r="A524" s="1"/>
      <c r="B524" s="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12.75" x14ac:dyDescent="0.2">
      <c r="A525" s="1"/>
      <c r="B525" s="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12.75" x14ac:dyDescent="0.2">
      <c r="A526" s="1"/>
      <c r="B526" s="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12.75" x14ac:dyDescent="0.2">
      <c r="A527" s="1"/>
      <c r="B527" s="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12.75" x14ac:dyDescent="0.2">
      <c r="A528" s="1"/>
      <c r="B528" s="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12.75" x14ac:dyDescent="0.2">
      <c r="A529" s="1"/>
      <c r="B529" s="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12.75" x14ac:dyDescent="0.2">
      <c r="A530" s="1"/>
      <c r="B530" s="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12.75" x14ac:dyDescent="0.2">
      <c r="A531" s="1"/>
      <c r="B531" s="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12.75" x14ac:dyDescent="0.2">
      <c r="A532" s="1"/>
      <c r="B532" s="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12.75" x14ac:dyDescent="0.2">
      <c r="A533" s="1"/>
      <c r="B533" s="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12.75" x14ac:dyDescent="0.2">
      <c r="A534" s="1"/>
      <c r="B534" s="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2.75" x14ac:dyDescent="0.2">
      <c r="A535" s="1"/>
      <c r="B535" s="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12.75" x14ac:dyDescent="0.2">
      <c r="A536" s="1"/>
      <c r="B536" s="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12.75" x14ac:dyDescent="0.2">
      <c r="A537" s="1"/>
      <c r="B537" s="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12.75" x14ac:dyDescent="0.2">
      <c r="A538" s="1"/>
      <c r="B538" s="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12.75" x14ac:dyDescent="0.2">
      <c r="A539" s="1"/>
      <c r="B539" s="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12.75" x14ac:dyDescent="0.2">
      <c r="A540" s="1"/>
      <c r="B540" s="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12.75" x14ac:dyDescent="0.2">
      <c r="A541" s="1"/>
      <c r="B541" s="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12.75" x14ac:dyDescent="0.2">
      <c r="A542" s="1"/>
      <c r="B542" s="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12.75" x14ac:dyDescent="0.2">
      <c r="A543" s="1"/>
      <c r="B543" s="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12.75" x14ac:dyDescent="0.2">
      <c r="A544" s="1"/>
      <c r="B544" s="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12.75" x14ac:dyDescent="0.2">
      <c r="A545" s="1"/>
      <c r="B545" s="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12.75" x14ac:dyDescent="0.2">
      <c r="A546" s="1"/>
      <c r="B546" s="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12.75" x14ac:dyDescent="0.2">
      <c r="A547" s="1"/>
      <c r="B547" s="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2.75" x14ac:dyDescent="0.2">
      <c r="A548" s="1"/>
      <c r="B548" s="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12.75" x14ac:dyDescent="0.2">
      <c r="A549" s="1"/>
      <c r="B549" s="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12.75" x14ac:dyDescent="0.2">
      <c r="A550" s="1"/>
      <c r="B550" s="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2.75" x14ac:dyDescent="0.2">
      <c r="A551" s="1"/>
      <c r="B551" s="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12.75" x14ac:dyDescent="0.2">
      <c r="A552" s="1"/>
      <c r="B552" s="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12.75" x14ac:dyDescent="0.2">
      <c r="A553" s="1"/>
      <c r="B553" s="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12.75" x14ac:dyDescent="0.2">
      <c r="A554" s="1"/>
      <c r="B554" s="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12.75" x14ac:dyDescent="0.2">
      <c r="A555" s="1"/>
      <c r="B555" s="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12.75" x14ac:dyDescent="0.2">
      <c r="A556" s="1"/>
      <c r="B556" s="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12.75" x14ac:dyDescent="0.2">
      <c r="A557" s="1"/>
      <c r="B557" s="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2.75" x14ac:dyDescent="0.2">
      <c r="A558" s="1"/>
      <c r="B558" s="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2.75" x14ac:dyDescent="0.2">
      <c r="A559" s="1"/>
      <c r="B559" s="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2.75" x14ac:dyDescent="0.2">
      <c r="A560" s="1"/>
      <c r="B560" s="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12.75" x14ac:dyDescent="0.2">
      <c r="A561" s="1"/>
      <c r="B561" s="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12.75" x14ac:dyDescent="0.2">
      <c r="A562" s="1"/>
      <c r="B562" s="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12.75" x14ac:dyDescent="0.2">
      <c r="A563" s="1"/>
      <c r="B563" s="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12.75" x14ac:dyDescent="0.2">
      <c r="A564" s="1"/>
      <c r="B564" s="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2.75" x14ac:dyDescent="0.2">
      <c r="A565" s="1"/>
      <c r="B565" s="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12.75" x14ac:dyDescent="0.2">
      <c r="A566" s="1"/>
      <c r="B566" s="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12.75" x14ac:dyDescent="0.2">
      <c r="A567" s="1"/>
      <c r="B567" s="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12.75" x14ac:dyDescent="0.2">
      <c r="A568" s="1"/>
      <c r="B568" s="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12.75" x14ac:dyDescent="0.2">
      <c r="A569" s="1"/>
      <c r="B569" s="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12.75" x14ac:dyDescent="0.2">
      <c r="A570" s="1"/>
      <c r="B570" s="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12.75" x14ac:dyDescent="0.2">
      <c r="A571" s="1"/>
      <c r="B571" s="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12.75" x14ac:dyDescent="0.2">
      <c r="A572" s="1"/>
      <c r="B572" s="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2.75" x14ac:dyDescent="0.2">
      <c r="A573" s="1"/>
      <c r="B573" s="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12.75" x14ac:dyDescent="0.2">
      <c r="A574" s="1"/>
      <c r="B574" s="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12.75" x14ac:dyDescent="0.2">
      <c r="A575" s="1"/>
      <c r="B575" s="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12.75" x14ac:dyDescent="0.2">
      <c r="A576" s="1"/>
      <c r="B576" s="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12.75" x14ac:dyDescent="0.2">
      <c r="A577" s="1"/>
      <c r="B577" s="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12.75" x14ac:dyDescent="0.2">
      <c r="A578" s="1"/>
      <c r="B578" s="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2.75" x14ac:dyDescent="0.2">
      <c r="A579" s="1"/>
      <c r="B579" s="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12.75" x14ac:dyDescent="0.2">
      <c r="A580" s="1"/>
      <c r="B580" s="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12.75" x14ac:dyDescent="0.2">
      <c r="A581" s="1"/>
      <c r="B581" s="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12.75" x14ac:dyDescent="0.2">
      <c r="A582" s="1"/>
      <c r="B582" s="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12.75" x14ac:dyDescent="0.2">
      <c r="A583" s="1"/>
      <c r="B583" s="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12.75" x14ac:dyDescent="0.2">
      <c r="A584" s="1"/>
      <c r="B584" s="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12.75" x14ac:dyDescent="0.2">
      <c r="A585" s="1"/>
      <c r="B585" s="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12.75" x14ac:dyDescent="0.2">
      <c r="A586" s="1"/>
      <c r="B586" s="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12.75" x14ac:dyDescent="0.2">
      <c r="A587" s="1"/>
      <c r="B587" s="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12.75" x14ac:dyDescent="0.2">
      <c r="A588" s="1"/>
      <c r="B588" s="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12.75" x14ac:dyDescent="0.2">
      <c r="A589" s="1"/>
      <c r="B589" s="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12.75" x14ac:dyDescent="0.2">
      <c r="A590" s="1"/>
      <c r="B590" s="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2.75" x14ac:dyDescent="0.2">
      <c r="A591" s="1"/>
      <c r="B591" s="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12.75" x14ac:dyDescent="0.2">
      <c r="A592" s="1"/>
      <c r="B592" s="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12.75" x14ac:dyDescent="0.2">
      <c r="A593" s="1"/>
      <c r="B593" s="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12.75" x14ac:dyDescent="0.2">
      <c r="A594" s="1"/>
      <c r="B594" s="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12.75" x14ac:dyDescent="0.2">
      <c r="A595" s="1"/>
      <c r="B595" s="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12.75" x14ac:dyDescent="0.2">
      <c r="A596" s="1"/>
      <c r="B596" s="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12.75" x14ac:dyDescent="0.2">
      <c r="A597" s="1"/>
      <c r="B597" s="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2.75" x14ac:dyDescent="0.2">
      <c r="A598" s="1"/>
      <c r="B598" s="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12.75" x14ac:dyDescent="0.2">
      <c r="A599" s="1"/>
      <c r="B599" s="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2.75" x14ac:dyDescent="0.2">
      <c r="A600" s="1"/>
      <c r="B600" s="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12.75" x14ac:dyDescent="0.2">
      <c r="A601" s="1"/>
      <c r="B601" s="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12.75" x14ac:dyDescent="0.2">
      <c r="A602" s="1"/>
      <c r="B602" s="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12.75" x14ac:dyDescent="0.2">
      <c r="A603" s="1"/>
      <c r="B603" s="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12.75" x14ac:dyDescent="0.2">
      <c r="A604" s="1"/>
      <c r="B604" s="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12.75" x14ac:dyDescent="0.2">
      <c r="A605" s="1"/>
      <c r="B605" s="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12.75" x14ac:dyDescent="0.2">
      <c r="A606" s="1"/>
      <c r="B606" s="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12.75" x14ac:dyDescent="0.2">
      <c r="A607" s="1"/>
      <c r="B607" s="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12.75" x14ac:dyDescent="0.2">
      <c r="A608" s="1"/>
      <c r="B608" s="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12.75" x14ac:dyDescent="0.2">
      <c r="A609" s="1"/>
      <c r="B609" s="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2.75" x14ac:dyDescent="0.2">
      <c r="A610" s="1"/>
      <c r="B610" s="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12.75" x14ac:dyDescent="0.2">
      <c r="A611" s="1"/>
      <c r="B611" s="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12.75" x14ac:dyDescent="0.2">
      <c r="A612" s="1"/>
      <c r="B612" s="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12.75" x14ac:dyDescent="0.2">
      <c r="A613" s="1"/>
      <c r="B613" s="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12.75" x14ac:dyDescent="0.2">
      <c r="A614" s="1"/>
      <c r="B614" s="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12.75" x14ac:dyDescent="0.2">
      <c r="A615" s="1"/>
      <c r="B615" s="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12.75" x14ac:dyDescent="0.2">
      <c r="A616" s="1"/>
      <c r="B616" s="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12.75" x14ac:dyDescent="0.2">
      <c r="A617" s="1"/>
      <c r="B617" s="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12.75" x14ac:dyDescent="0.2">
      <c r="A618" s="1"/>
      <c r="B618" s="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12.75" x14ac:dyDescent="0.2">
      <c r="A619" s="1"/>
      <c r="B619" s="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2.75" x14ac:dyDescent="0.2">
      <c r="A620" s="1"/>
      <c r="B620" s="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12.75" x14ac:dyDescent="0.2">
      <c r="A621" s="1"/>
      <c r="B621" s="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12.75" x14ac:dyDescent="0.2">
      <c r="A622" s="1"/>
      <c r="B622" s="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12.75" x14ac:dyDescent="0.2">
      <c r="A623" s="1"/>
      <c r="B623" s="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12.75" x14ac:dyDescent="0.2">
      <c r="A624" s="1"/>
      <c r="B624" s="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12.75" x14ac:dyDescent="0.2">
      <c r="A625" s="1"/>
      <c r="B625" s="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12.75" x14ac:dyDescent="0.2">
      <c r="A626" s="1"/>
      <c r="B626" s="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2.75" x14ac:dyDescent="0.2">
      <c r="A627" s="1"/>
      <c r="B627" s="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12.75" x14ac:dyDescent="0.2">
      <c r="A628" s="1"/>
      <c r="B628" s="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12.75" x14ac:dyDescent="0.2">
      <c r="A629" s="1"/>
      <c r="B629" s="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12.75" x14ac:dyDescent="0.2">
      <c r="A630" s="1"/>
      <c r="B630" s="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12.75" x14ac:dyDescent="0.2">
      <c r="A631" s="1"/>
      <c r="B631" s="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12.75" x14ac:dyDescent="0.2">
      <c r="A632" s="1"/>
      <c r="B632" s="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12.75" x14ac:dyDescent="0.2">
      <c r="A633" s="1"/>
      <c r="B633" s="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12.75" x14ac:dyDescent="0.2">
      <c r="A634" s="1"/>
      <c r="B634" s="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12.75" x14ac:dyDescent="0.2">
      <c r="A635" s="1"/>
      <c r="B635" s="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2.75" x14ac:dyDescent="0.2">
      <c r="A636" s="1"/>
      <c r="B636" s="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12.75" x14ac:dyDescent="0.2">
      <c r="A637" s="1"/>
      <c r="B637" s="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12.75" x14ac:dyDescent="0.2">
      <c r="A638" s="1"/>
      <c r="B638" s="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12.75" x14ac:dyDescent="0.2">
      <c r="A639" s="1"/>
      <c r="B639" s="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12.75" x14ac:dyDescent="0.2">
      <c r="A640" s="1"/>
      <c r="B640" s="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12.75" x14ac:dyDescent="0.2">
      <c r="A641" s="1"/>
      <c r="B641" s="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12.75" x14ac:dyDescent="0.2">
      <c r="A642" s="1"/>
      <c r="B642" s="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12.75" x14ac:dyDescent="0.2">
      <c r="A643" s="1"/>
      <c r="B643" s="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12.75" x14ac:dyDescent="0.2">
      <c r="A644" s="1"/>
      <c r="B644" s="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12.75" x14ac:dyDescent="0.2">
      <c r="A645" s="1"/>
      <c r="B645" s="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12.75" x14ac:dyDescent="0.2">
      <c r="A646" s="1"/>
      <c r="B646" s="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12.75" x14ac:dyDescent="0.2">
      <c r="A647" s="1"/>
      <c r="B647" s="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12.75" x14ac:dyDescent="0.2">
      <c r="A648" s="1"/>
      <c r="B648" s="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12.75" x14ac:dyDescent="0.2">
      <c r="A649" s="1"/>
      <c r="B649" s="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12.75" x14ac:dyDescent="0.2">
      <c r="A650" s="1"/>
      <c r="B650" s="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12.75" x14ac:dyDescent="0.2">
      <c r="A651" s="1"/>
      <c r="B651" s="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12.75" x14ac:dyDescent="0.2">
      <c r="A652" s="1"/>
      <c r="B652" s="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12.75" x14ac:dyDescent="0.2">
      <c r="A653" s="1"/>
      <c r="B653" s="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12.75" x14ac:dyDescent="0.2">
      <c r="A654" s="1"/>
      <c r="B654" s="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12.75" x14ac:dyDescent="0.2">
      <c r="A655" s="1"/>
      <c r="B655" s="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12.75" x14ac:dyDescent="0.2">
      <c r="A656" s="1"/>
      <c r="B656" s="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12.75" x14ac:dyDescent="0.2">
      <c r="A657" s="1"/>
      <c r="B657" s="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12.75" x14ac:dyDescent="0.2">
      <c r="A658" s="1"/>
      <c r="B658" s="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12.75" x14ac:dyDescent="0.2">
      <c r="A659" s="1"/>
      <c r="B659" s="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12.75" x14ac:dyDescent="0.2">
      <c r="A660" s="1"/>
      <c r="B660" s="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12.75" x14ac:dyDescent="0.2">
      <c r="A661" s="1"/>
      <c r="B661" s="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12.75" x14ac:dyDescent="0.2">
      <c r="A662" s="1"/>
      <c r="B662" s="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12.75" x14ac:dyDescent="0.2">
      <c r="A663" s="1"/>
      <c r="B663" s="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12.75" x14ac:dyDescent="0.2">
      <c r="A664" s="1"/>
      <c r="B664" s="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12.75" x14ac:dyDescent="0.2">
      <c r="A665" s="1"/>
      <c r="B665" s="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12.75" x14ac:dyDescent="0.2">
      <c r="A666" s="1"/>
      <c r="B666" s="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12.75" x14ac:dyDescent="0.2">
      <c r="A667" s="1"/>
      <c r="B667" s="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12.75" x14ac:dyDescent="0.2">
      <c r="A668" s="1"/>
      <c r="B668" s="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12.75" x14ac:dyDescent="0.2">
      <c r="A669" s="1"/>
      <c r="B669" s="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12.75" x14ac:dyDescent="0.2">
      <c r="A670" s="1"/>
      <c r="B670" s="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12.75" x14ac:dyDescent="0.2">
      <c r="A671" s="1"/>
      <c r="B671" s="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12.75" x14ac:dyDescent="0.2">
      <c r="A672" s="1"/>
      <c r="B672" s="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12.75" x14ac:dyDescent="0.2">
      <c r="A673" s="1"/>
      <c r="B673" s="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12.75" x14ac:dyDescent="0.2">
      <c r="A674" s="1"/>
      <c r="B674" s="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12.75" x14ac:dyDescent="0.2">
      <c r="A675" s="1"/>
      <c r="B675" s="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12.75" x14ac:dyDescent="0.2">
      <c r="A676" s="1"/>
      <c r="B676" s="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12.75" x14ac:dyDescent="0.2">
      <c r="A677" s="1"/>
      <c r="B677" s="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12.75" x14ac:dyDescent="0.2">
      <c r="A678" s="1"/>
      <c r="B678" s="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12.75" x14ac:dyDescent="0.2">
      <c r="A679" s="1"/>
      <c r="B679" s="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12.75" x14ac:dyDescent="0.2">
      <c r="A680" s="1"/>
      <c r="B680" s="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12.75" x14ac:dyDescent="0.2">
      <c r="A681" s="1"/>
      <c r="B681" s="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12.75" x14ac:dyDescent="0.2">
      <c r="A682" s="1"/>
      <c r="B682" s="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12.75" x14ac:dyDescent="0.2">
      <c r="A683" s="1"/>
      <c r="B683" s="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12.75" x14ac:dyDescent="0.2">
      <c r="A684" s="1"/>
      <c r="B684" s="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12.75" x14ac:dyDescent="0.2">
      <c r="A685" s="1"/>
      <c r="B685" s="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12.75" x14ac:dyDescent="0.2">
      <c r="A686" s="1"/>
      <c r="B686" s="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12.75" x14ac:dyDescent="0.2">
      <c r="A687" s="1"/>
      <c r="B687" s="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12.75" x14ac:dyDescent="0.2">
      <c r="A688" s="1"/>
      <c r="B688" s="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12.75" x14ac:dyDescent="0.2">
      <c r="A689" s="1"/>
      <c r="B689" s="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12.75" x14ac:dyDescent="0.2">
      <c r="A690" s="1"/>
      <c r="B690" s="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12.75" x14ac:dyDescent="0.2">
      <c r="A691" s="1"/>
      <c r="B691" s="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12.75" x14ac:dyDescent="0.2">
      <c r="A692" s="1"/>
      <c r="B692" s="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12.75" x14ac:dyDescent="0.2">
      <c r="A693" s="1"/>
      <c r="B693" s="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12.75" x14ac:dyDescent="0.2">
      <c r="A694" s="1"/>
      <c r="B694" s="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12.75" x14ac:dyDescent="0.2">
      <c r="A695" s="1"/>
      <c r="B695" s="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12.75" x14ac:dyDescent="0.2">
      <c r="A696" s="1"/>
      <c r="B696" s="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12.75" x14ac:dyDescent="0.2">
      <c r="A697" s="1"/>
      <c r="B697" s="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12.75" x14ac:dyDescent="0.2">
      <c r="A698" s="1"/>
      <c r="B698" s="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12.75" x14ac:dyDescent="0.2">
      <c r="A699" s="1"/>
      <c r="B699" s="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12.75" x14ac:dyDescent="0.2">
      <c r="A700" s="1"/>
      <c r="B700" s="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12.75" x14ac:dyDescent="0.2">
      <c r="A701" s="1"/>
      <c r="B701" s="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12.75" x14ac:dyDescent="0.2">
      <c r="A702" s="1"/>
      <c r="B702" s="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12.75" x14ac:dyDescent="0.2">
      <c r="A703" s="1"/>
      <c r="B703" s="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12.75" x14ac:dyDescent="0.2">
      <c r="A704" s="1"/>
      <c r="B704" s="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12.75" x14ac:dyDescent="0.2">
      <c r="A705" s="1"/>
      <c r="B705" s="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12.75" x14ac:dyDescent="0.2">
      <c r="A706" s="1"/>
      <c r="B706" s="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12.75" x14ac:dyDescent="0.2">
      <c r="A707" s="1"/>
      <c r="B707" s="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12.75" x14ac:dyDescent="0.2">
      <c r="A708" s="1"/>
      <c r="B708" s="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12.75" x14ac:dyDescent="0.2">
      <c r="A709" s="1"/>
      <c r="B709" s="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12.75" x14ac:dyDescent="0.2">
      <c r="A710" s="1"/>
      <c r="B710" s="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12.75" x14ac:dyDescent="0.2">
      <c r="A711" s="1"/>
      <c r="B711" s="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12.75" x14ac:dyDescent="0.2">
      <c r="A712" s="1"/>
      <c r="B712" s="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12.75" x14ac:dyDescent="0.2">
      <c r="A713" s="1"/>
      <c r="B713" s="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12.75" x14ac:dyDescent="0.2">
      <c r="A714" s="1"/>
      <c r="B714" s="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12.75" x14ac:dyDescent="0.2">
      <c r="A715" s="1"/>
      <c r="B715" s="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12.75" x14ac:dyDescent="0.2">
      <c r="A716" s="1"/>
      <c r="B716" s="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12.75" x14ac:dyDescent="0.2">
      <c r="A717" s="1"/>
      <c r="B717" s="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12.75" x14ac:dyDescent="0.2">
      <c r="A718" s="1"/>
      <c r="B718" s="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12.75" x14ac:dyDescent="0.2">
      <c r="A719" s="1"/>
      <c r="B719" s="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12.75" x14ac:dyDescent="0.2">
      <c r="A720" s="1"/>
      <c r="B720" s="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12.75" x14ac:dyDescent="0.2">
      <c r="A721" s="1"/>
      <c r="B721" s="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12.75" x14ac:dyDescent="0.2">
      <c r="A722" s="1"/>
      <c r="B722" s="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12.75" x14ac:dyDescent="0.2">
      <c r="A723" s="1"/>
      <c r="B723" s="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12.75" x14ac:dyDescent="0.2">
      <c r="A724" s="1"/>
      <c r="B724" s="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12.75" x14ac:dyDescent="0.2">
      <c r="A725" s="1"/>
      <c r="B725" s="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12.75" x14ac:dyDescent="0.2">
      <c r="A726" s="1"/>
      <c r="B726" s="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12.75" x14ac:dyDescent="0.2">
      <c r="A727" s="1"/>
      <c r="B727" s="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12.75" x14ac:dyDescent="0.2">
      <c r="A728" s="1"/>
      <c r="B728" s="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12.75" x14ac:dyDescent="0.2">
      <c r="A729" s="1"/>
      <c r="B729" s="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12.75" x14ac:dyDescent="0.2">
      <c r="A730" s="1"/>
      <c r="B730" s="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12.75" x14ac:dyDescent="0.2">
      <c r="A731" s="1"/>
      <c r="B731" s="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12.75" x14ac:dyDescent="0.2">
      <c r="A732" s="1"/>
      <c r="B732" s="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12.75" x14ac:dyDescent="0.2">
      <c r="A733" s="1"/>
      <c r="B733" s="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12.75" x14ac:dyDescent="0.2">
      <c r="A734" s="1"/>
      <c r="B734" s="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12.75" x14ac:dyDescent="0.2">
      <c r="A735" s="1"/>
      <c r="B735" s="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12.75" x14ac:dyDescent="0.2">
      <c r="A736" s="1"/>
      <c r="B736" s="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12.75" x14ac:dyDescent="0.2">
      <c r="A737" s="1"/>
      <c r="B737" s="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12.75" x14ac:dyDescent="0.2">
      <c r="A738" s="1"/>
      <c r="B738" s="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12.75" x14ac:dyDescent="0.2">
      <c r="A739" s="1"/>
      <c r="B739" s="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12.75" x14ac:dyDescent="0.2">
      <c r="A740" s="1"/>
      <c r="B740" s="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12.75" x14ac:dyDescent="0.2">
      <c r="A741" s="1"/>
      <c r="B741" s="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12.75" x14ac:dyDescent="0.2">
      <c r="A742" s="1"/>
      <c r="B742" s="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12.75" x14ac:dyDescent="0.2">
      <c r="A743" s="1"/>
      <c r="B743" s="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12.75" x14ac:dyDescent="0.2">
      <c r="A744" s="1"/>
      <c r="B744" s="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12.75" x14ac:dyDescent="0.2">
      <c r="A745" s="1"/>
      <c r="B745" s="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12.75" x14ac:dyDescent="0.2">
      <c r="A746" s="1"/>
      <c r="B746" s="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12.75" x14ac:dyDescent="0.2">
      <c r="A747" s="1"/>
      <c r="B747" s="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12.75" x14ac:dyDescent="0.2">
      <c r="A748" s="1"/>
      <c r="B748" s="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12.75" x14ac:dyDescent="0.2">
      <c r="A749" s="1"/>
      <c r="B749" s="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12.75" x14ac:dyDescent="0.2">
      <c r="A750" s="1"/>
      <c r="B750" s="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12.75" x14ac:dyDescent="0.2">
      <c r="A751" s="1"/>
      <c r="B751" s="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12.75" x14ac:dyDescent="0.2">
      <c r="A752" s="1"/>
      <c r="B752" s="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12.75" x14ac:dyDescent="0.2">
      <c r="A753" s="1"/>
      <c r="B753" s="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12.75" x14ac:dyDescent="0.2">
      <c r="A754" s="1"/>
      <c r="B754" s="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12.75" x14ac:dyDescent="0.2">
      <c r="A755" s="1"/>
      <c r="B755" s="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12.75" x14ac:dyDescent="0.2">
      <c r="A756" s="1"/>
      <c r="B756" s="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12.75" x14ac:dyDescent="0.2">
      <c r="A757" s="1"/>
      <c r="B757" s="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12.75" x14ac:dyDescent="0.2">
      <c r="A758" s="1"/>
      <c r="B758" s="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12.75" x14ac:dyDescent="0.2">
      <c r="A759" s="1"/>
      <c r="B759" s="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12.75" x14ac:dyDescent="0.2">
      <c r="A760" s="1"/>
      <c r="B760" s="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12.75" x14ac:dyDescent="0.2">
      <c r="A761" s="1"/>
      <c r="B761" s="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12.75" x14ac:dyDescent="0.2">
      <c r="A762" s="1"/>
      <c r="B762" s="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12.75" x14ac:dyDescent="0.2">
      <c r="A763" s="1"/>
      <c r="B763" s="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12.75" x14ac:dyDescent="0.2">
      <c r="A764" s="1"/>
      <c r="B764" s="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12.75" x14ac:dyDescent="0.2">
      <c r="A765" s="1"/>
      <c r="B765" s="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12.75" x14ac:dyDescent="0.2">
      <c r="A766" s="1"/>
      <c r="B766" s="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12.75" x14ac:dyDescent="0.2">
      <c r="A767" s="1"/>
      <c r="B767" s="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12.75" x14ac:dyDescent="0.2">
      <c r="A768" s="1"/>
      <c r="B768" s="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12.75" x14ac:dyDescent="0.2">
      <c r="A769" s="1"/>
      <c r="B769" s="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12.75" x14ac:dyDescent="0.2">
      <c r="A770" s="1"/>
      <c r="B770" s="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12.75" x14ac:dyDescent="0.2">
      <c r="A771" s="1"/>
      <c r="B771" s="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12.75" x14ac:dyDescent="0.2">
      <c r="A772" s="1"/>
      <c r="B772" s="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12.75" x14ac:dyDescent="0.2">
      <c r="A773" s="1"/>
      <c r="B773" s="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12.75" x14ac:dyDescent="0.2">
      <c r="A774" s="1"/>
      <c r="B774" s="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12.75" x14ac:dyDescent="0.2">
      <c r="A775" s="1"/>
      <c r="B775" s="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12.75" x14ac:dyDescent="0.2">
      <c r="A776" s="1"/>
      <c r="B776" s="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12.75" x14ac:dyDescent="0.2">
      <c r="A777" s="1"/>
      <c r="B777" s="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12.75" x14ac:dyDescent="0.2">
      <c r="A778" s="1"/>
      <c r="B778" s="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12.75" x14ac:dyDescent="0.2">
      <c r="A779" s="1"/>
      <c r="B779" s="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12.75" x14ac:dyDescent="0.2">
      <c r="A780" s="1"/>
      <c r="B780" s="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12.75" x14ac:dyDescent="0.2">
      <c r="A781" s="1"/>
      <c r="B781" s="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12.75" x14ac:dyDescent="0.2">
      <c r="A782" s="1"/>
      <c r="B782" s="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12.75" x14ac:dyDescent="0.2">
      <c r="A783" s="1"/>
      <c r="B783" s="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12.75" x14ac:dyDescent="0.2">
      <c r="A784" s="1"/>
      <c r="B784" s="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12.75" x14ac:dyDescent="0.2">
      <c r="A785" s="1"/>
      <c r="B785" s="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12.75" x14ac:dyDescent="0.2">
      <c r="A786" s="1"/>
      <c r="B786" s="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12.75" x14ac:dyDescent="0.2">
      <c r="A787" s="1"/>
      <c r="B787" s="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12.75" x14ac:dyDescent="0.2">
      <c r="A788" s="1"/>
      <c r="B788" s="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12.75" x14ac:dyDescent="0.2">
      <c r="A789" s="1"/>
      <c r="B789" s="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ht="12.75" x14ac:dyDescent="0.2">
      <c r="A790" s="1"/>
      <c r="B790" s="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ht="12.75" x14ac:dyDescent="0.2">
      <c r="A791" s="1"/>
      <c r="B791" s="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ht="12.75" x14ac:dyDescent="0.2">
      <c r="A792" s="1"/>
      <c r="B792" s="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ht="12.75" x14ac:dyDescent="0.2">
      <c r="A793" s="1"/>
      <c r="B793" s="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ht="12.75" x14ac:dyDescent="0.2">
      <c r="A794" s="1"/>
      <c r="B794" s="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ht="12.75" x14ac:dyDescent="0.2">
      <c r="A795" s="1"/>
      <c r="B795" s="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ht="12.75" x14ac:dyDescent="0.2">
      <c r="A796" s="1"/>
      <c r="B796" s="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ht="12.75" x14ac:dyDescent="0.2">
      <c r="A797" s="1"/>
      <c r="B797" s="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ht="12.75" x14ac:dyDescent="0.2">
      <c r="A798" s="1"/>
      <c r="B798" s="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ht="12.75" x14ac:dyDescent="0.2">
      <c r="A799" s="1"/>
      <c r="B799" s="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ht="12.75" x14ac:dyDescent="0.2">
      <c r="A800" s="1"/>
      <c r="B800" s="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ht="12.75" x14ac:dyDescent="0.2">
      <c r="A801" s="1"/>
      <c r="B801" s="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ht="12.75" x14ac:dyDescent="0.2">
      <c r="A802" s="1"/>
      <c r="B802" s="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ht="12.75" x14ac:dyDescent="0.2">
      <c r="A803" s="1"/>
      <c r="B803" s="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ht="12.75" x14ac:dyDescent="0.2">
      <c r="A804" s="1"/>
      <c r="B804" s="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ht="12.75" x14ac:dyDescent="0.2">
      <c r="A805" s="1"/>
      <c r="B805" s="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ht="12.75" x14ac:dyDescent="0.2">
      <c r="A806" s="1"/>
      <c r="B806" s="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ht="12.75" x14ac:dyDescent="0.2">
      <c r="A807" s="1"/>
      <c r="B807" s="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ht="12.75" x14ac:dyDescent="0.2">
      <c r="A808" s="1"/>
      <c r="B808" s="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ht="12.75" x14ac:dyDescent="0.2">
      <c r="A809" s="1"/>
      <c r="B809" s="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ht="12.75" x14ac:dyDescent="0.2">
      <c r="A810" s="1"/>
      <c r="B810" s="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ht="12.75" x14ac:dyDescent="0.2">
      <c r="A811" s="1"/>
      <c r="B811" s="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ht="12.75" x14ac:dyDescent="0.2">
      <c r="A812" s="1"/>
      <c r="B812" s="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ht="12.75" x14ac:dyDescent="0.2">
      <c r="A813" s="1"/>
      <c r="B813" s="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ht="12.75" x14ac:dyDescent="0.2">
      <c r="A814" s="1"/>
      <c r="B814" s="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ht="12.75" x14ac:dyDescent="0.2">
      <c r="A815" s="1"/>
      <c r="B815" s="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ht="12.75" x14ac:dyDescent="0.2">
      <c r="A816" s="1"/>
      <c r="B816" s="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ht="12.75" x14ac:dyDescent="0.2">
      <c r="A817" s="1"/>
      <c r="B817" s="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ht="12.75" x14ac:dyDescent="0.2">
      <c r="A818" s="1"/>
      <c r="B818" s="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ht="12.75" x14ac:dyDescent="0.2">
      <c r="A819" s="1"/>
      <c r="B819" s="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ht="12.75" x14ac:dyDescent="0.2">
      <c r="A820" s="1"/>
      <c r="B820" s="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ht="12.75" x14ac:dyDescent="0.2">
      <c r="A821" s="1"/>
      <c r="B821" s="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ht="12.75" x14ac:dyDescent="0.2">
      <c r="A822" s="1"/>
      <c r="B822" s="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ht="12.75" x14ac:dyDescent="0.2">
      <c r="A823" s="1"/>
      <c r="B823" s="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ht="12.75" x14ac:dyDescent="0.2">
      <c r="A824" s="1"/>
      <c r="B824" s="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ht="12.75" x14ac:dyDescent="0.2">
      <c r="A825" s="1"/>
      <c r="B825" s="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ht="12.75" x14ac:dyDescent="0.2">
      <c r="A826" s="1"/>
      <c r="B826" s="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ht="12.75" x14ac:dyDescent="0.2">
      <c r="A827" s="1"/>
      <c r="B827" s="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ht="12.75" x14ac:dyDescent="0.2">
      <c r="A828" s="1"/>
      <c r="B828" s="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ht="12.75" x14ac:dyDescent="0.2">
      <c r="A829" s="1"/>
      <c r="B829" s="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ht="12.75" x14ac:dyDescent="0.2">
      <c r="A830" s="1"/>
      <c r="B830" s="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ht="12.75" x14ac:dyDescent="0.2">
      <c r="A831" s="1"/>
      <c r="B831" s="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ht="12.75" x14ac:dyDescent="0.2">
      <c r="A832" s="1"/>
      <c r="B832" s="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ht="12.75" x14ac:dyDescent="0.2">
      <c r="A833" s="1"/>
      <c r="B833" s="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ht="12.75" x14ac:dyDescent="0.2">
      <c r="A834" s="1"/>
      <c r="B834" s="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ht="12.75" x14ac:dyDescent="0.2">
      <c r="A835" s="1"/>
      <c r="B835" s="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ht="12.75" x14ac:dyDescent="0.2">
      <c r="A836" s="1"/>
      <c r="B836" s="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ht="12.75" x14ac:dyDescent="0.2">
      <c r="A837" s="1"/>
      <c r="B837" s="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ht="12.75" x14ac:dyDescent="0.2">
      <c r="A838" s="1"/>
      <c r="B838" s="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ht="12.75" x14ac:dyDescent="0.2">
      <c r="A839" s="1"/>
      <c r="B839" s="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ht="12.75" x14ac:dyDescent="0.2">
      <c r="A840" s="1"/>
      <c r="B840" s="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ht="12.75" x14ac:dyDescent="0.2">
      <c r="A841" s="1"/>
      <c r="B841" s="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ht="12.75" x14ac:dyDescent="0.2">
      <c r="A842" s="1"/>
      <c r="B842" s="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ht="12.75" x14ac:dyDescent="0.2">
      <c r="A843" s="1"/>
      <c r="B843" s="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ht="12.75" x14ac:dyDescent="0.2">
      <c r="A844" s="1"/>
      <c r="B844" s="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ht="12.75" x14ac:dyDescent="0.2">
      <c r="A845" s="1"/>
      <c r="B845" s="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ht="12.75" x14ac:dyDescent="0.2">
      <c r="A846" s="1"/>
      <c r="B846" s="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ht="12.75" x14ac:dyDescent="0.2">
      <c r="A847" s="1"/>
      <c r="B847" s="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ht="12.75" x14ac:dyDescent="0.2">
      <c r="A848" s="1"/>
      <c r="B848" s="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ht="12.75" x14ac:dyDescent="0.2">
      <c r="A849" s="1"/>
      <c r="B849" s="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ht="12.75" x14ac:dyDescent="0.2">
      <c r="A850" s="1"/>
      <c r="B850" s="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ht="12.75" x14ac:dyDescent="0.2">
      <c r="A851" s="1"/>
      <c r="B851" s="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ht="12.75" x14ac:dyDescent="0.2">
      <c r="A852" s="1"/>
      <c r="B852" s="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ht="12.75" x14ac:dyDescent="0.2">
      <c r="A853" s="1"/>
      <c r="B853" s="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ht="12.75" x14ac:dyDescent="0.2">
      <c r="A854" s="1"/>
      <c r="B854" s="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ht="12.75" x14ac:dyDescent="0.2">
      <c r="A855" s="1"/>
      <c r="B855" s="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ht="12.75" x14ac:dyDescent="0.2">
      <c r="A856" s="1"/>
      <c r="B856" s="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ht="12.75" x14ac:dyDescent="0.2">
      <c r="A857" s="1"/>
      <c r="B857" s="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ht="12.75" x14ac:dyDescent="0.2">
      <c r="A858" s="1"/>
      <c r="B858" s="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ht="12.75" x14ac:dyDescent="0.2">
      <c r="A859" s="1"/>
      <c r="B859" s="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ht="12.75" x14ac:dyDescent="0.2">
      <c r="A860" s="1"/>
      <c r="B860" s="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ht="12.75" x14ac:dyDescent="0.2">
      <c r="A861" s="1"/>
      <c r="B861" s="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ht="12.75" x14ac:dyDescent="0.2">
      <c r="A862" s="1"/>
      <c r="B862" s="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ht="12.75" x14ac:dyDescent="0.2">
      <c r="A863" s="1"/>
      <c r="B863" s="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ht="12.75" x14ac:dyDescent="0.2">
      <c r="A864" s="1"/>
      <c r="B864" s="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ht="12.75" x14ac:dyDescent="0.2">
      <c r="A865" s="1"/>
      <c r="B865" s="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ht="12.75" x14ac:dyDescent="0.2">
      <c r="A866" s="1"/>
      <c r="B866" s="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ht="12.75" x14ac:dyDescent="0.2">
      <c r="A867" s="1"/>
      <c r="B867" s="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ht="12.75" x14ac:dyDescent="0.2">
      <c r="A868" s="1"/>
      <c r="B868" s="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ht="12.75" x14ac:dyDescent="0.2">
      <c r="A869" s="1"/>
      <c r="B869" s="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ht="12.75" x14ac:dyDescent="0.2">
      <c r="A870" s="1"/>
      <c r="B870" s="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ht="12.75" x14ac:dyDescent="0.2">
      <c r="A871" s="1"/>
      <c r="B871" s="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ht="12.75" x14ac:dyDescent="0.2">
      <c r="A872" s="1"/>
      <c r="B872" s="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ht="12.75" x14ac:dyDescent="0.2">
      <c r="A873" s="1"/>
      <c r="B873" s="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ht="12.75" x14ac:dyDescent="0.2">
      <c r="A874" s="1"/>
      <c r="B874" s="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ht="12.75" x14ac:dyDescent="0.2">
      <c r="A875" s="1"/>
      <c r="B875" s="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ht="12.75" x14ac:dyDescent="0.2">
      <c r="A876" s="1"/>
      <c r="B876" s="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ht="12.75" x14ac:dyDescent="0.2">
      <c r="A877" s="1"/>
      <c r="B877" s="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ht="12.75" x14ac:dyDescent="0.2">
      <c r="A878" s="1"/>
      <c r="B878" s="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ht="12.75" x14ac:dyDescent="0.2">
      <c r="A879" s="1"/>
      <c r="B879" s="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ht="12.75" x14ac:dyDescent="0.2">
      <c r="A880" s="1"/>
      <c r="B880" s="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ht="12.75" x14ac:dyDescent="0.2">
      <c r="A881" s="1"/>
      <c r="B881" s="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ht="12.75" x14ac:dyDescent="0.2">
      <c r="A882" s="1"/>
      <c r="B882" s="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ht="12.75" x14ac:dyDescent="0.2">
      <c r="A883" s="1"/>
      <c r="B883" s="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ht="12.75" x14ac:dyDescent="0.2">
      <c r="A884" s="1"/>
      <c r="B884" s="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ht="12.75" x14ac:dyDescent="0.2">
      <c r="A885" s="1"/>
      <c r="B885" s="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ht="12.75" x14ac:dyDescent="0.2">
      <c r="A886" s="1"/>
      <c r="B886" s="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ht="12.75" x14ac:dyDescent="0.2">
      <c r="A887" s="1"/>
      <c r="B887" s="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ht="12.75" x14ac:dyDescent="0.2">
      <c r="A888" s="1"/>
      <c r="B888" s="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ht="12.75" x14ac:dyDescent="0.2">
      <c r="A889" s="1"/>
      <c r="B889" s="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ht="12.75" x14ac:dyDescent="0.2">
      <c r="A890" s="1"/>
      <c r="B890" s="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ht="12.75" x14ac:dyDescent="0.2">
      <c r="A891" s="1"/>
      <c r="B891" s="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ht="12.75" x14ac:dyDescent="0.2">
      <c r="A892" s="1"/>
      <c r="B892" s="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ht="12.75" x14ac:dyDescent="0.2">
      <c r="A893" s="1"/>
      <c r="B893" s="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ht="12.75" x14ac:dyDescent="0.2">
      <c r="A894" s="1"/>
      <c r="B894" s="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ht="12.75" x14ac:dyDescent="0.2">
      <c r="A895" s="1"/>
      <c r="B895" s="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ht="12.75" x14ac:dyDescent="0.2">
      <c r="A896" s="1"/>
      <c r="B896" s="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ht="12.75" x14ac:dyDescent="0.2">
      <c r="A897" s="1"/>
      <c r="B897" s="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ht="12.75" x14ac:dyDescent="0.2">
      <c r="A898" s="1"/>
      <c r="B898" s="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ht="12.75" x14ac:dyDescent="0.2">
      <c r="A899" s="1"/>
      <c r="B899" s="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ht="12.75" x14ac:dyDescent="0.2">
      <c r="A900" s="1"/>
      <c r="B900" s="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1:14" ht="12.75" x14ac:dyDescent="0.2">
      <c r="A901" s="1"/>
      <c r="B901" s="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 ht="12.75" x14ac:dyDescent="0.2">
      <c r="A902" s="1"/>
      <c r="B902" s="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1:14" ht="12.75" x14ac:dyDescent="0.2">
      <c r="A903" s="1"/>
      <c r="B903" s="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 ht="12.75" x14ac:dyDescent="0.2">
      <c r="A904" s="1"/>
      <c r="B904" s="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 ht="12.75" x14ac:dyDescent="0.2">
      <c r="A905" s="1"/>
      <c r="B905" s="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1:14" ht="12.75" x14ac:dyDescent="0.2">
      <c r="A906" s="1"/>
      <c r="B906" s="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1:14" ht="12.75" x14ac:dyDescent="0.2">
      <c r="A907" s="1"/>
      <c r="B907" s="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1:14" ht="12.75" x14ac:dyDescent="0.2">
      <c r="A908" s="1"/>
      <c r="B908" s="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1:14" ht="12.75" x14ac:dyDescent="0.2">
      <c r="A909" s="1"/>
      <c r="B909" s="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1:14" ht="12.75" x14ac:dyDescent="0.2">
      <c r="A910" s="1"/>
      <c r="B910" s="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1:14" ht="12.75" x14ac:dyDescent="0.2">
      <c r="A911" s="1"/>
      <c r="B911" s="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1:14" ht="12.75" x14ac:dyDescent="0.2">
      <c r="A912" s="1"/>
      <c r="B912" s="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1:14" ht="12.75" x14ac:dyDescent="0.2">
      <c r="A913" s="1"/>
      <c r="B913" s="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1:14" ht="12.75" x14ac:dyDescent="0.2">
      <c r="A914" s="1"/>
      <c r="B914" s="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1:14" ht="12.75" x14ac:dyDescent="0.2">
      <c r="A915" s="1"/>
      <c r="B915" s="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1:14" ht="12.75" x14ac:dyDescent="0.2">
      <c r="A916" s="1"/>
      <c r="B916" s="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1:14" ht="12.75" x14ac:dyDescent="0.2">
      <c r="A917" s="1"/>
      <c r="B917" s="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1:14" ht="12.75" x14ac:dyDescent="0.2">
      <c r="A918" s="1"/>
      <c r="B918" s="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1:14" ht="12.75" x14ac:dyDescent="0.2">
      <c r="A919" s="1"/>
      <c r="B919" s="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1:14" ht="12.75" x14ac:dyDescent="0.2">
      <c r="A920" s="1"/>
      <c r="B920" s="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1:14" ht="12.75" x14ac:dyDescent="0.2">
      <c r="A921" s="1"/>
      <c r="B921" s="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1:14" ht="12.75" x14ac:dyDescent="0.2">
      <c r="A922" s="1"/>
      <c r="B922" s="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1:14" ht="12.75" x14ac:dyDescent="0.2">
      <c r="A923" s="1"/>
      <c r="B923" s="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1:14" ht="12.75" x14ac:dyDescent="0.2">
      <c r="A924" s="1"/>
      <c r="B924" s="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1:14" ht="12.75" x14ac:dyDescent="0.2">
      <c r="A925" s="1"/>
      <c r="B925" s="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1:14" ht="12.75" x14ac:dyDescent="0.2">
      <c r="A926" s="1"/>
      <c r="B926" s="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1:14" ht="12.75" x14ac:dyDescent="0.2">
      <c r="A927" s="1"/>
      <c r="B927" s="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1:14" ht="12.75" x14ac:dyDescent="0.2">
      <c r="A928" s="1"/>
      <c r="B928" s="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1:14" ht="12.75" x14ac:dyDescent="0.2">
      <c r="A929" s="1"/>
      <c r="B929" s="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1:14" ht="12.75" x14ac:dyDescent="0.2">
      <c r="A930" s="1"/>
      <c r="B930" s="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1:14" ht="12.75" x14ac:dyDescent="0.2">
      <c r="A931" s="1"/>
      <c r="B931" s="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1:14" ht="12.75" x14ac:dyDescent="0.2">
      <c r="A932" s="1"/>
      <c r="B932" s="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1:14" ht="12.75" x14ac:dyDescent="0.2">
      <c r="A933" s="1"/>
      <c r="B933" s="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1:14" ht="12.75" x14ac:dyDescent="0.2">
      <c r="A934" s="1"/>
      <c r="B934" s="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1:14" ht="12.75" x14ac:dyDescent="0.2">
      <c r="A935" s="1"/>
      <c r="B935" s="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1:14" ht="12.75" x14ac:dyDescent="0.2">
      <c r="A936" s="1"/>
      <c r="B936" s="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1:14" ht="12.75" x14ac:dyDescent="0.2">
      <c r="A937" s="1"/>
      <c r="B937" s="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1:14" ht="12.75" x14ac:dyDescent="0.2">
      <c r="A938" s="1"/>
      <c r="B938" s="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1:14" ht="12.75" x14ac:dyDescent="0.2">
      <c r="A939" s="1"/>
      <c r="B939" s="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1:14" ht="12.75" x14ac:dyDescent="0.2">
      <c r="A940" s="1"/>
      <c r="B940" s="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1:14" ht="12.75" x14ac:dyDescent="0.2">
      <c r="A941" s="1"/>
      <c r="B941" s="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1:14" ht="12.75" x14ac:dyDescent="0.2">
      <c r="A942" s="1"/>
      <c r="B942" s="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1:14" ht="12.75" x14ac:dyDescent="0.2">
      <c r="A943" s="1"/>
      <c r="B943" s="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1:14" ht="12.75" x14ac:dyDescent="0.2">
      <c r="A944" s="1"/>
      <c r="B944" s="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1:14" ht="12.75" x14ac:dyDescent="0.2">
      <c r="A945" s="1"/>
      <c r="B945" s="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1:14" ht="12.75" x14ac:dyDescent="0.2">
      <c r="A946" s="1"/>
      <c r="B946" s="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1:14" ht="12.75" x14ac:dyDescent="0.2">
      <c r="A947" s="1"/>
      <c r="B947" s="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1:14" ht="12.75" x14ac:dyDescent="0.2">
      <c r="A948" s="1"/>
      <c r="B948" s="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1:14" ht="12.75" x14ac:dyDescent="0.2">
      <c r="A949" s="1"/>
      <c r="B949" s="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1:14" ht="12.75" x14ac:dyDescent="0.2">
      <c r="A950" s="1"/>
      <c r="B950" s="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1:14" ht="12.75" x14ac:dyDescent="0.2">
      <c r="A951" s="1"/>
      <c r="B951" s="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1:14" ht="12.75" x14ac:dyDescent="0.2">
      <c r="A952" s="1"/>
      <c r="B952" s="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1:14" ht="12.75" x14ac:dyDescent="0.2">
      <c r="A953" s="1"/>
      <c r="B953" s="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1:14" ht="12.75" x14ac:dyDescent="0.2">
      <c r="A954" s="1"/>
      <c r="B954" s="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1:14" ht="12.75" x14ac:dyDescent="0.2">
      <c r="A955" s="1"/>
      <c r="B955" s="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1:14" ht="12.75" x14ac:dyDescent="0.2">
      <c r="A956" s="1"/>
      <c r="B956" s="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1:14" ht="12.75" x14ac:dyDescent="0.2">
      <c r="A957" s="1"/>
      <c r="B957" s="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1:14" ht="12.75" x14ac:dyDescent="0.2">
      <c r="A958" s="1"/>
      <c r="B958" s="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1:14" ht="12.75" x14ac:dyDescent="0.2">
      <c r="A959" s="1"/>
      <c r="B959" s="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1:14" ht="12.75" x14ac:dyDescent="0.2">
      <c r="A960" s="1"/>
      <c r="B960" s="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1:14" ht="12.75" x14ac:dyDescent="0.2">
      <c r="A961" s="1"/>
      <c r="B961" s="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1:14" ht="12.75" x14ac:dyDescent="0.2">
      <c r="A962" s="1"/>
      <c r="B962" s="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1:14" ht="12.75" x14ac:dyDescent="0.2">
      <c r="A963" s="1"/>
      <c r="B963" s="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1:14" ht="12.75" x14ac:dyDescent="0.2">
      <c r="A964" s="1"/>
      <c r="B964" s="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1:14" ht="12.75" x14ac:dyDescent="0.2">
      <c r="A965" s="1"/>
      <c r="B965" s="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1:14" ht="12.75" x14ac:dyDescent="0.2">
      <c r="A966" s="1"/>
      <c r="B966" s="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1:14" ht="12.75" x14ac:dyDescent="0.2">
      <c r="A967" s="1"/>
      <c r="B967" s="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1:14" ht="12.75" x14ac:dyDescent="0.2">
      <c r="A968" s="1"/>
      <c r="B968" s="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1:14" ht="12.75" x14ac:dyDescent="0.2">
      <c r="A969" s="1"/>
      <c r="B969" s="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1:14" ht="12.75" x14ac:dyDescent="0.2">
      <c r="A970" s="1"/>
      <c r="B970" s="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1:14" ht="12.75" x14ac:dyDescent="0.2">
      <c r="A971" s="1"/>
      <c r="B971" s="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1:14" ht="12.75" x14ac:dyDescent="0.2">
      <c r="A972" s="1"/>
      <c r="B972" s="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1:14" ht="12.75" x14ac:dyDescent="0.2">
      <c r="A973" s="1"/>
      <c r="B973" s="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1:14" ht="12.75" x14ac:dyDescent="0.2">
      <c r="A974" s="1"/>
      <c r="B974" s="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1:14" ht="12.75" x14ac:dyDescent="0.2">
      <c r="A975" s="1"/>
      <c r="B975" s="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1:14" ht="12.75" x14ac:dyDescent="0.2">
      <c r="A976" s="1"/>
      <c r="B976" s="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 ht="12.75" x14ac:dyDescent="0.2">
      <c r="A977" s="1"/>
      <c r="B977" s="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1:14" ht="12.75" x14ac:dyDescent="0.2">
      <c r="A978" s="1"/>
      <c r="B978" s="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1:14" ht="12.75" x14ac:dyDescent="0.2">
      <c r="A979" s="1"/>
      <c r="B979" s="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1:14" ht="12.75" x14ac:dyDescent="0.2">
      <c r="A980" s="1"/>
      <c r="B980" s="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1:14" ht="12.75" x14ac:dyDescent="0.2">
      <c r="A981" s="1"/>
      <c r="B981" s="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1:14" ht="12.75" x14ac:dyDescent="0.2">
      <c r="A982" s="1"/>
      <c r="B982" s="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1:14" ht="12.75" x14ac:dyDescent="0.2">
      <c r="A983" s="1"/>
      <c r="B983" s="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1:14" ht="12.75" x14ac:dyDescent="0.2">
      <c r="A984" s="1"/>
      <c r="B984" s="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1:14" ht="12.75" x14ac:dyDescent="0.2">
      <c r="A985" s="1"/>
      <c r="B985" s="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1:14" ht="12.75" x14ac:dyDescent="0.2">
      <c r="A986" s="1"/>
      <c r="B986" s="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1:14" ht="12.75" x14ac:dyDescent="0.2">
      <c r="A987" s="1"/>
      <c r="B987" s="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1:14" ht="12.75" x14ac:dyDescent="0.2">
      <c r="A988" s="1"/>
      <c r="B988" s="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1:14" ht="12.75" x14ac:dyDescent="0.2">
      <c r="A989" s="1"/>
      <c r="B989" s="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1:14" ht="12.75" x14ac:dyDescent="0.2">
      <c r="A990" s="1"/>
      <c r="B990" s="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1:14" ht="12.75" x14ac:dyDescent="0.2">
      <c r="A991" s="1"/>
      <c r="B991" s="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1:14" ht="12.75" x14ac:dyDescent="0.2">
      <c r="A992" s="1"/>
      <c r="B992" s="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1:14" ht="12.75" x14ac:dyDescent="0.2">
      <c r="A993" s="1"/>
      <c r="B993" s="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1:14" ht="12.75" x14ac:dyDescent="0.2">
      <c r="A994" s="1"/>
      <c r="B994" s="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1:14" ht="12.75" x14ac:dyDescent="0.2">
      <c r="A995" s="1"/>
      <c r="B995" s="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1:14" ht="12.75" x14ac:dyDescent="0.2">
      <c r="A996" s="1"/>
      <c r="B996" s="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1:14" ht="12.75" x14ac:dyDescent="0.2">
      <c r="A997" s="1"/>
      <c r="B997" s="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1:14" ht="12.75" x14ac:dyDescent="0.2">
      <c r="A998" s="1"/>
      <c r="B998" s="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1:14" ht="12.75" x14ac:dyDescent="0.2">
      <c r="A999" s="1"/>
      <c r="B999" s="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ht="12.75" x14ac:dyDescent="0.2">
      <c r="A1000" s="1"/>
      <c r="B1000" s="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ht="12.75" x14ac:dyDescent="0.2">
      <c r="A1001" s="1"/>
      <c r="B1001" s="6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ht="12.75" x14ac:dyDescent="0.2">
      <c r="A1002" s="1"/>
      <c r="B1002" s="6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 ht="12.75" x14ac:dyDescent="0.2">
      <c r="A1003" s="1"/>
      <c r="B1003" s="6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</row>
  </sheetData>
  <dataConsolidate/>
  <mergeCells count="97">
    <mergeCell ref="F57:G57"/>
    <mergeCell ref="B132:L132"/>
    <mergeCell ref="B113:L113"/>
    <mergeCell ref="B116:L116"/>
    <mergeCell ref="B119:L119"/>
    <mergeCell ref="B55:C55"/>
    <mergeCell ref="B52:C52"/>
    <mergeCell ref="B53:C53"/>
    <mergeCell ref="B51:C51"/>
    <mergeCell ref="B54:C54"/>
    <mergeCell ref="B48:C48"/>
    <mergeCell ref="B49:C49"/>
    <mergeCell ref="B40:C40"/>
    <mergeCell ref="B17:C17"/>
    <mergeCell ref="B19:C19"/>
    <mergeCell ref="B20:C20"/>
    <mergeCell ref="B21:C21"/>
    <mergeCell ref="B37:C37"/>
    <mergeCell ref="E23:F23"/>
    <mergeCell ref="B2:C2"/>
    <mergeCell ref="D2:E2"/>
    <mergeCell ref="B4:E4"/>
    <mergeCell ref="B6:C6"/>
    <mergeCell ref="B7:C7"/>
    <mergeCell ref="B11:C11"/>
    <mergeCell ref="B12:C12"/>
    <mergeCell ref="B9:D9"/>
    <mergeCell ref="B10:C10"/>
    <mergeCell ref="B14:D14"/>
    <mergeCell ref="B15:C15"/>
    <mergeCell ref="B16:C16"/>
    <mergeCell ref="B241:L241"/>
    <mergeCell ref="B244:L244"/>
    <mergeCell ref="B247:L247"/>
    <mergeCell ref="B250:L250"/>
    <mergeCell ref="B167:L167"/>
    <mergeCell ref="B235:L235"/>
    <mergeCell ref="B209:L209"/>
    <mergeCell ref="B217:L217"/>
    <mergeCell ref="B220:L220"/>
    <mergeCell ref="B223:L223"/>
    <mergeCell ref="B226:L226"/>
    <mergeCell ref="B229:L229"/>
    <mergeCell ref="B232:L232"/>
    <mergeCell ref="B172:L172"/>
    <mergeCell ref="B175:L175"/>
    <mergeCell ref="B238:L238"/>
    <mergeCell ref="D1:G1"/>
    <mergeCell ref="B50:C50"/>
    <mergeCell ref="B24:C24"/>
    <mergeCell ref="B47:C47"/>
    <mergeCell ref="B27:C27"/>
    <mergeCell ref="B34:C34"/>
    <mergeCell ref="B25:C26"/>
    <mergeCell ref="B35:C36"/>
    <mergeCell ref="B28:C29"/>
    <mergeCell ref="B30:C31"/>
    <mergeCell ref="B32:C33"/>
    <mergeCell ref="B38:C39"/>
    <mergeCell ref="B45:C46"/>
    <mergeCell ref="B43:C44"/>
    <mergeCell ref="B41:C42"/>
    <mergeCell ref="B18:C18"/>
    <mergeCell ref="B253:L253"/>
    <mergeCell ref="B58:L58"/>
    <mergeCell ref="B60:L60"/>
    <mergeCell ref="B62:L62"/>
    <mergeCell ref="B67:L67"/>
    <mergeCell ref="B72:L72"/>
    <mergeCell ref="B77:L77"/>
    <mergeCell ref="B82:L82"/>
    <mergeCell ref="B85:L85"/>
    <mergeCell ref="B87:L87"/>
    <mergeCell ref="B89:L89"/>
    <mergeCell ref="B92:L92"/>
    <mergeCell ref="B97:L97"/>
    <mergeCell ref="B102:L102"/>
    <mergeCell ref="B107:L107"/>
    <mergeCell ref="B110:L110"/>
    <mergeCell ref="B214:L214"/>
    <mergeCell ref="B137:L137"/>
    <mergeCell ref="B184:L184"/>
    <mergeCell ref="B189:L189"/>
    <mergeCell ref="B194:L194"/>
    <mergeCell ref="B199:L199"/>
    <mergeCell ref="B204:L204"/>
    <mergeCell ref="B181:L181"/>
    <mergeCell ref="B142:L142"/>
    <mergeCell ref="B147:L147"/>
    <mergeCell ref="B152:L152"/>
    <mergeCell ref="B157:L157"/>
    <mergeCell ref="B162:L162"/>
    <mergeCell ref="B122:L122"/>
    <mergeCell ref="B125:L125"/>
    <mergeCell ref="B128:L128"/>
    <mergeCell ref="B130:L130"/>
    <mergeCell ref="B178:L178"/>
  </mergeCells>
  <phoneticPr fontId="3" type="noConversion"/>
  <conditionalFormatting sqref="J59:K59 J61:K61 J63:K66">
    <cfRule type="containsText" dxfId="155" priority="736" stopIfTrue="1" operator="containsText" text="Not applicable">
      <formula>NOT(ISERROR(SEARCH("Not applicable",J59)))</formula>
    </cfRule>
    <cfRule type="containsText" dxfId="154" priority="737" stopIfTrue="1" operator="containsText" text="Failed">
      <formula>NOT(ISERROR(SEARCH("Failed",J59)))</formula>
    </cfRule>
    <cfRule type="containsText" dxfId="153" priority="738" stopIfTrue="1" operator="containsText" text="Passed">
      <formula>NOT(ISERROR(SEARCH("Passed",J59)))</formula>
    </cfRule>
  </conditionalFormatting>
  <conditionalFormatting sqref="J68:K71">
    <cfRule type="containsText" dxfId="152" priority="39" stopIfTrue="1" operator="containsText" text="Passed">
      <formula>NOT(ISERROR(SEARCH("Passed",J68)))</formula>
    </cfRule>
    <cfRule type="containsText" dxfId="151" priority="38" stopIfTrue="1" operator="containsText" text="Failed">
      <formula>NOT(ISERROR(SEARCH("Failed",J68)))</formula>
    </cfRule>
    <cfRule type="containsText" dxfId="150" priority="37" stopIfTrue="1" operator="containsText" text="Not applicable">
      <formula>NOT(ISERROR(SEARCH("Not applicable",J68)))</formula>
    </cfRule>
  </conditionalFormatting>
  <conditionalFormatting sqref="J73:K76">
    <cfRule type="containsText" dxfId="149" priority="34" stopIfTrue="1" operator="containsText" text="Not applicable">
      <formula>NOT(ISERROR(SEARCH("Not applicable",J73)))</formula>
    </cfRule>
    <cfRule type="containsText" dxfId="148" priority="36" stopIfTrue="1" operator="containsText" text="Passed">
      <formula>NOT(ISERROR(SEARCH("Passed",J73)))</formula>
    </cfRule>
    <cfRule type="containsText" dxfId="147" priority="35" stopIfTrue="1" operator="containsText" text="Failed">
      <formula>NOT(ISERROR(SEARCH("Failed",J73)))</formula>
    </cfRule>
  </conditionalFormatting>
  <conditionalFormatting sqref="J78:K81">
    <cfRule type="containsText" dxfId="146" priority="31" stopIfTrue="1" operator="containsText" text="Not applicable">
      <formula>NOT(ISERROR(SEARCH("Not applicable",J78)))</formula>
    </cfRule>
    <cfRule type="containsText" dxfId="145" priority="33" stopIfTrue="1" operator="containsText" text="Passed">
      <formula>NOT(ISERROR(SEARCH("Passed",J78)))</formula>
    </cfRule>
    <cfRule type="containsText" dxfId="144" priority="32" stopIfTrue="1" operator="containsText" text="Failed">
      <formula>NOT(ISERROR(SEARCH("Failed",J78)))</formula>
    </cfRule>
  </conditionalFormatting>
  <conditionalFormatting sqref="J83:K84">
    <cfRule type="containsText" dxfId="143" priority="409" stopIfTrue="1" operator="containsText" text="Not applicable">
      <formula>NOT(ISERROR(SEARCH("Not applicable",J83)))</formula>
    </cfRule>
    <cfRule type="containsText" dxfId="142" priority="410" stopIfTrue="1" operator="containsText" text="Failed">
      <formula>NOT(ISERROR(SEARCH("Failed",J83)))</formula>
    </cfRule>
    <cfRule type="containsText" dxfId="141" priority="411" stopIfTrue="1" operator="containsText" text="Passed">
      <formula>NOT(ISERROR(SEARCH("Passed",J83)))</formula>
    </cfRule>
  </conditionalFormatting>
  <conditionalFormatting sqref="J86:K86">
    <cfRule type="containsText" dxfId="140" priority="406" stopIfTrue="1" operator="containsText" text="Not applicable">
      <formula>NOT(ISERROR(SEARCH("Not applicable",J86)))</formula>
    </cfRule>
    <cfRule type="containsText" dxfId="139" priority="407" stopIfTrue="1" operator="containsText" text="Failed">
      <formula>NOT(ISERROR(SEARCH("Failed",J86)))</formula>
    </cfRule>
    <cfRule type="containsText" dxfId="138" priority="408" stopIfTrue="1" operator="containsText" text="Passed">
      <formula>NOT(ISERROR(SEARCH("Passed",J86)))</formula>
    </cfRule>
  </conditionalFormatting>
  <conditionalFormatting sqref="J88:K88">
    <cfRule type="containsText" dxfId="137" priority="403" stopIfTrue="1" operator="containsText" text="Not applicable">
      <formula>NOT(ISERROR(SEARCH("Not applicable",J88)))</formula>
    </cfRule>
    <cfRule type="containsText" dxfId="136" priority="404" stopIfTrue="1" operator="containsText" text="Failed">
      <formula>NOT(ISERROR(SEARCH("Failed",J88)))</formula>
    </cfRule>
    <cfRule type="containsText" dxfId="135" priority="405" stopIfTrue="1" operator="containsText" text="Passed">
      <formula>NOT(ISERROR(SEARCH("Passed",J88)))</formula>
    </cfRule>
  </conditionalFormatting>
  <conditionalFormatting sqref="J90:K91">
    <cfRule type="containsText" dxfId="134" priority="399" stopIfTrue="1" operator="containsText" text="Passed">
      <formula>NOT(ISERROR(SEARCH("Passed",J90)))</formula>
    </cfRule>
    <cfRule type="containsText" dxfId="133" priority="398" stopIfTrue="1" operator="containsText" text="Failed">
      <formula>NOT(ISERROR(SEARCH("Failed",J90)))</formula>
    </cfRule>
    <cfRule type="containsText" dxfId="132" priority="397" stopIfTrue="1" operator="containsText" text="Not applicable">
      <formula>NOT(ISERROR(SEARCH("Not applicable",J90)))</formula>
    </cfRule>
  </conditionalFormatting>
  <conditionalFormatting sqref="J93:K96">
    <cfRule type="containsText" dxfId="131" priority="28" stopIfTrue="1" operator="containsText" text="Not applicable">
      <formula>NOT(ISERROR(SEARCH("Not applicable",J93)))</formula>
    </cfRule>
    <cfRule type="containsText" dxfId="130" priority="29" stopIfTrue="1" operator="containsText" text="Failed">
      <formula>NOT(ISERROR(SEARCH("Failed",J93)))</formula>
    </cfRule>
    <cfRule type="containsText" dxfId="129" priority="30" stopIfTrue="1" operator="containsText" text="Passed">
      <formula>NOT(ISERROR(SEARCH("Passed",J93)))</formula>
    </cfRule>
  </conditionalFormatting>
  <conditionalFormatting sqref="J98:K101">
    <cfRule type="containsText" dxfId="128" priority="25" stopIfTrue="1" operator="containsText" text="Not applicable">
      <formula>NOT(ISERROR(SEARCH("Not applicable",J98)))</formula>
    </cfRule>
    <cfRule type="containsText" dxfId="127" priority="26" stopIfTrue="1" operator="containsText" text="Failed">
      <formula>NOT(ISERROR(SEARCH("Failed",J98)))</formula>
    </cfRule>
    <cfRule type="containsText" dxfId="126" priority="27" stopIfTrue="1" operator="containsText" text="Passed">
      <formula>NOT(ISERROR(SEARCH("Passed",J98)))</formula>
    </cfRule>
  </conditionalFormatting>
  <conditionalFormatting sqref="J103:K106">
    <cfRule type="containsText" dxfId="125" priority="22" stopIfTrue="1" operator="containsText" text="Not applicable">
      <formula>NOT(ISERROR(SEARCH("Not applicable",J103)))</formula>
    </cfRule>
    <cfRule type="containsText" dxfId="124" priority="23" stopIfTrue="1" operator="containsText" text="Failed">
      <formula>NOT(ISERROR(SEARCH("Failed",J103)))</formula>
    </cfRule>
    <cfRule type="containsText" dxfId="123" priority="24" stopIfTrue="1" operator="containsText" text="Passed">
      <formula>NOT(ISERROR(SEARCH("Passed",J103)))</formula>
    </cfRule>
  </conditionalFormatting>
  <conditionalFormatting sqref="J108:K109">
    <cfRule type="containsText" dxfId="122" priority="357" stopIfTrue="1" operator="containsText" text="Passed">
      <formula>NOT(ISERROR(SEARCH("Passed",J108)))</formula>
    </cfRule>
    <cfRule type="containsText" dxfId="121" priority="356" stopIfTrue="1" operator="containsText" text="Failed">
      <formula>NOT(ISERROR(SEARCH("Failed",J108)))</formula>
    </cfRule>
    <cfRule type="containsText" dxfId="120" priority="355" stopIfTrue="1" operator="containsText" text="Not applicable">
      <formula>NOT(ISERROR(SEARCH("Not applicable",J108)))</formula>
    </cfRule>
  </conditionalFormatting>
  <conditionalFormatting sqref="J111:K112">
    <cfRule type="containsText" dxfId="119" priority="350" stopIfTrue="1" operator="containsText" text="Failed">
      <formula>NOT(ISERROR(SEARCH("Failed",J111)))</formula>
    </cfRule>
    <cfRule type="containsText" dxfId="118" priority="351" stopIfTrue="1" operator="containsText" text="Passed">
      <formula>NOT(ISERROR(SEARCH("Passed",J111)))</formula>
    </cfRule>
    <cfRule type="containsText" dxfId="117" priority="349" stopIfTrue="1" operator="containsText" text="Not applicable">
      <formula>NOT(ISERROR(SEARCH("Not applicable",J111)))</formula>
    </cfRule>
  </conditionalFormatting>
  <conditionalFormatting sqref="J114:K115">
    <cfRule type="containsText" dxfId="116" priority="345" stopIfTrue="1" operator="containsText" text="Passed">
      <formula>NOT(ISERROR(SEARCH("Passed",J114)))</formula>
    </cfRule>
    <cfRule type="containsText" dxfId="115" priority="344" stopIfTrue="1" operator="containsText" text="Failed">
      <formula>NOT(ISERROR(SEARCH("Failed",J114)))</formula>
    </cfRule>
    <cfRule type="containsText" dxfId="114" priority="343" stopIfTrue="1" operator="containsText" text="Not applicable">
      <formula>NOT(ISERROR(SEARCH("Not applicable",J114)))</formula>
    </cfRule>
  </conditionalFormatting>
  <conditionalFormatting sqref="J117:K118">
    <cfRule type="containsText" dxfId="113" priority="337" stopIfTrue="1" operator="containsText" text="Not applicable">
      <formula>NOT(ISERROR(SEARCH("Not applicable",J117)))</formula>
    </cfRule>
    <cfRule type="containsText" dxfId="112" priority="338" stopIfTrue="1" operator="containsText" text="Failed">
      <formula>NOT(ISERROR(SEARCH("Failed",J117)))</formula>
    </cfRule>
    <cfRule type="containsText" dxfId="111" priority="339" stopIfTrue="1" operator="containsText" text="Passed">
      <formula>NOT(ISERROR(SEARCH("Passed",J117)))</formula>
    </cfRule>
  </conditionalFormatting>
  <conditionalFormatting sqref="J120:K121">
    <cfRule type="containsText" dxfId="110" priority="331" stopIfTrue="1" operator="containsText" text="Not applicable">
      <formula>NOT(ISERROR(SEARCH("Not applicable",J120)))</formula>
    </cfRule>
    <cfRule type="containsText" dxfId="109" priority="332" stopIfTrue="1" operator="containsText" text="Failed">
      <formula>NOT(ISERROR(SEARCH("Failed",J120)))</formula>
    </cfRule>
    <cfRule type="containsText" dxfId="108" priority="333" stopIfTrue="1" operator="containsText" text="Passed">
      <formula>NOT(ISERROR(SEARCH("Passed",J120)))</formula>
    </cfRule>
  </conditionalFormatting>
  <conditionalFormatting sqref="J123:K124">
    <cfRule type="containsText" dxfId="107" priority="325" stopIfTrue="1" operator="containsText" text="Not applicable">
      <formula>NOT(ISERROR(SEARCH("Not applicable",J123)))</formula>
    </cfRule>
    <cfRule type="containsText" dxfId="106" priority="326" stopIfTrue="1" operator="containsText" text="Failed">
      <formula>NOT(ISERROR(SEARCH("Failed",J123)))</formula>
    </cfRule>
    <cfRule type="containsText" dxfId="105" priority="327" stopIfTrue="1" operator="containsText" text="Passed">
      <formula>NOT(ISERROR(SEARCH("Passed",J123)))</formula>
    </cfRule>
  </conditionalFormatting>
  <conditionalFormatting sqref="J126:K127">
    <cfRule type="containsText" dxfId="104" priority="322" stopIfTrue="1" operator="containsText" text="Not applicable">
      <formula>NOT(ISERROR(SEARCH("Not applicable",J126)))</formula>
    </cfRule>
    <cfRule type="containsText" dxfId="103" priority="323" stopIfTrue="1" operator="containsText" text="Failed">
      <formula>NOT(ISERROR(SEARCH("Failed",J126)))</formula>
    </cfRule>
    <cfRule type="containsText" dxfId="102" priority="324" stopIfTrue="1" operator="containsText" text="Passed">
      <formula>NOT(ISERROR(SEARCH("Passed",J126)))</formula>
    </cfRule>
  </conditionalFormatting>
  <conditionalFormatting sqref="J129:K129">
    <cfRule type="containsText" dxfId="101" priority="320" stopIfTrue="1" operator="containsText" text="Failed">
      <formula>NOT(ISERROR(SEARCH("Failed",J129)))</formula>
    </cfRule>
    <cfRule type="containsText" dxfId="100" priority="321" stopIfTrue="1" operator="containsText" text="Passed">
      <formula>NOT(ISERROR(SEARCH("Passed",J129)))</formula>
    </cfRule>
    <cfRule type="containsText" dxfId="99" priority="319" stopIfTrue="1" operator="containsText" text="Not applicable">
      <formula>NOT(ISERROR(SEARCH("Not applicable",J129)))</formula>
    </cfRule>
  </conditionalFormatting>
  <conditionalFormatting sqref="J131:K131">
    <cfRule type="containsText" dxfId="98" priority="316" stopIfTrue="1" operator="containsText" text="Not applicable">
      <formula>NOT(ISERROR(SEARCH("Not applicable",J131)))</formula>
    </cfRule>
    <cfRule type="containsText" dxfId="97" priority="317" stopIfTrue="1" operator="containsText" text="Failed">
      <formula>NOT(ISERROR(SEARCH("Failed",J131)))</formula>
    </cfRule>
    <cfRule type="containsText" dxfId="96" priority="318" stopIfTrue="1" operator="containsText" text="Passed">
      <formula>NOT(ISERROR(SEARCH("Passed",J131)))</formula>
    </cfRule>
  </conditionalFormatting>
  <conditionalFormatting sqref="J133:K136">
    <cfRule type="containsText" dxfId="95" priority="20" stopIfTrue="1" operator="containsText" text="Failed">
      <formula>NOT(ISERROR(SEARCH("Failed",J133)))</formula>
    </cfRule>
    <cfRule type="containsText" dxfId="94" priority="19" stopIfTrue="1" operator="containsText" text="Not applicable">
      <formula>NOT(ISERROR(SEARCH("Not applicable",J133)))</formula>
    </cfRule>
    <cfRule type="containsText" dxfId="93" priority="21" stopIfTrue="1" operator="containsText" text="Passed">
      <formula>NOT(ISERROR(SEARCH("Passed",J133)))</formula>
    </cfRule>
  </conditionalFormatting>
  <conditionalFormatting sqref="J138:K141">
    <cfRule type="containsText" dxfId="92" priority="292" stopIfTrue="1" operator="containsText" text="Not applicable">
      <formula>NOT(ISERROR(SEARCH("Not applicable",J138)))</formula>
    </cfRule>
    <cfRule type="containsText" dxfId="91" priority="294" stopIfTrue="1" operator="containsText" text="Passed">
      <formula>NOT(ISERROR(SEARCH("Passed",J138)))</formula>
    </cfRule>
    <cfRule type="containsText" dxfId="90" priority="293" stopIfTrue="1" operator="containsText" text="Failed">
      <formula>NOT(ISERROR(SEARCH("Failed",J138)))</formula>
    </cfRule>
  </conditionalFormatting>
  <conditionalFormatting sqref="J143:K146">
    <cfRule type="containsText" dxfId="89" priority="17" stopIfTrue="1" operator="containsText" text="Failed">
      <formula>NOT(ISERROR(SEARCH("Failed",J143)))</formula>
    </cfRule>
    <cfRule type="containsText" dxfId="88" priority="18" stopIfTrue="1" operator="containsText" text="Passed">
      <formula>NOT(ISERROR(SEARCH("Passed",J143)))</formula>
    </cfRule>
    <cfRule type="containsText" dxfId="87" priority="16" stopIfTrue="1" operator="containsText" text="Not applicable">
      <formula>NOT(ISERROR(SEARCH("Not applicable",J143)))</formula>
    </cfRule>
  </conditionalFormatting>
  <conditionalFormatting sqref="J148:K151">
    <cfRule type="containsText" dxfId="86" priority="269" stopIfTrue="1" operator="containsText" text="Failed">
      <formula>NOT(ISERROR(SEARCH("Failed",J148)))</formula>
    </cfRule>
    <cfRule type="containsText" dxfId="85" priority="270" stopIfTrue="1" operator="containsText" text="Passed">
      <formula>NOT(ISERROR(SEARCH("Passed",J148)))</formula>
    </cfRule>
    <cfRule type="containsText" dxfId="84" priority="268" stopIfTrue="1" operator="containsText" text="Not applicable">
      <formula>NOT(ISERROR(SEARCH("Not applicable",J148)))</formula>
    </cfRule>
  </conditionalFormatting>
  <conditionalFormatting sqref="J153:K156">
    <cfRule type="containsText" dxfId="83" priority="13" stopIfTrue="1" operator="containsText" text="Not applicable">
      <formula>NOT(ISERROR(SEARCH("Not applicable",J153)))</formula>
    </cfRule>
    <cfRule type="containsText" dxfId="82" priority="14" stopIfTrue="1" operator="containsText" text="Failed">
      <formula>NOT(ISERROR(SEARCH("Failed",J153)))</formula>
    </cfRule>
    <cfRule type="containsText" dxfId="81" priority="15" stopIfTrue="1" operator="containsText" text="Passed">
      <formula>NOT(ISERROR(SEARCH("Passed",J153)))</formula>
    </cfRule>
  </conditionalFormatting>
  <conditionalFormatting sqref="J158:K161">
    <cfRule type="containsText" dxfId="80" priority="244" stopIfTrue="1" operator="containsText" text="Not applicable">
      <formula>NOT(ISERROR(SEARCH("Not applicable",J158)))</formula>
    </cfRule>
    <cfRule type="containsText" dxfId="79" priority="245" stopIfTrue="1" operator="containsText" text="Failed">
      <formula>NOT(ISERROR(SEARCH("Failed",J158)))</formula>
    </cfRule>
    <cfRule type="containsText" dxfId="78" priority="246" stopIfTrue="1" operator="containsText" text="Passed">
      <formula>NOT(ISERROR(SEARCH("Passed",J158)))</formula>
    </cfRule>
  </conditionalFormatting>
  <conditionalFormatting sqref="J163:K166">
    <cfRule type="containsText" dxfId="77" priority="12" stopIfTrue="1" operator="containsText" text="Passed">
      <formula>NOT(ISERROR(SEARCH("Passed",J163)))</formula>
    </cfRule>
    <cfRule type="containsText" dxfId="76" priority="10" stopIfTrue="1" operator="containsText" text="Not applicable">
      <formula>NOT(ISERROR(SEARCH("Not applicable",J163)))</formula>
    </cfRule>
    <cfRule type="containsText" dxfId="75" priority="11" stopIfTrue="1" operator="containsText" text="Failed">
      <formula>NOT(ISERROR(SEARCH("Failed",J163)))</formula>
    </cfRule>
  </conditionalFormatting>
  <conditionalFormatting sqref="J168:K171">
    <cfRule type="containsText" dxfId="74" priority="222" stopIfTrue="1" operator="containsText" text="Passed">
      <formula>NOT(ISERROR(SEARCH("Passed",J168)))</formula>
    </cfRule>
    <cfRule type="containsText" dxfId="73" priority="220" stopIfTrue="1" operator="containsText" text="Not applicable">
      <formula>NOT(ISERROR(SEARCH("Not applicable",J168)))</formula>
    </cfRule>
    <cfRule type="containsText" dxfId="72" priority="221" stopIfTrue="1" operator="containsText" text="Failed">
      <formula>NOT(ISERROR(SEARCH("Failed",J168)))</formula>
    </cfRule>
  </conditionalFormatting>
  <conditionalFormatting sqref="J173:K174">
    <cfRule type="containsText" dxfId="71" priority="214" stopIfTrue="1" operator="containsText" text="Not applicable">
      <formula>NOT(ISERROR(SEARCH("Not applicable",J173)))</formula>
    </cfRule>
    <cfRule type="containsText" dxfId="70" priority="215" stopIfTrue="1" operator="containsText" text="Failed">
      <formula>NOT(ISERROR(SEARCH("Failed",J173)))</formula>
    </cfRule>
    <cfRule type="containsText" dxfId="69" priority="216" stopIfTrue="1" operator="containsText" text="Passed">
      <formula>NOT(ISERROR(SEARCH("Passed",J173)))</formula>
    </cfRule>
  </conditionalFormatting>
  <conditionalFormatting sqref="J176:K177">
    <cfRule type="containsText" dxfId="68" priority="209" stopIfTrue="1" operator="containsText" text="Failed">
      <formula>NOT(ISERROR(SEARCH("Failed",J176)))</formula>
    </cfRule>
    <cfRule type="containsText" dxfId="67" priority="210" stopIfTrue="1" operator="containsText" text="Passed">
      <formula>NOT(ISERROR(SEARCH("Passed",J176)))</formula>
    </cfRule>
    <cfRule type="containsText" dxfId="66" priority="208" stopIfTrue="1" operator="containsText" text="Not applicable">
      <formula>NOT(ISERROR(SEARCH("Not applicable",J176)))</formula>
    </cfRule>
  </conditionalFormatting>
  <conditionalFormatting sqref="J179:K180">
    <cfRule type="containsText" dxfId="65" priority="202" stopIfTrue="1" operator="containsText" text="Not applicable">
      <formula>NOT(ISERROR(SEARCH("Not applicable",J179)))</formula>
    </cfRule>
    <cfRule type="containsText" dxfId="64" priority="204" stopIfTrue="1" operator="containsText" text="Passed">
      <formula>NOT(ISERROR(SEARCH("Passed",J179)))</formula>
    </cfRule>
    <cfRule type="containsText" dxfId="63" priority="203" stopIfTrue="1" operator="containsText" text="Failed">
      <formula>NOT(ISERROR(SEARCH("Failed",J179)))</formula>
    </cfRule>
  </conditionalFormatting>
  <conditionalFormatting sqref="J182:K183">
    <cfRule type="containsText" dxfId="62" priority="196" stopIfTrue="1" operator="containsText" text="Not applicable">
      <formula>NOT(ISERROR(SEARCH("Not applicable",J182)))</formula>
    </cfRule>
    <cfRule type="containsText" dxfId="61" priority="197" stopIfTrue="1" operator="containsText" text="Failed">
      <formula>NOT(ISERROR(SEARCH("Failed",J182)))</formula>
    </cfRule>
    <cfRule type="containsText" dxfId="60" priority="198" stopIfTrue="1" operator="containsText" text="Passed">
      <formula>NOT(ISERROR(SEARCH("Passed",J182)))</formula>
    </cfRule>
  </conditionalFormatting>
  <conditionalFormatting sqref="J185:K188">
    <cfRule type="containsText" dxfId="59" priority="8" stopIfTrue="1" operator="containsText" text="Failed">
      <formula>NOT(ISERROR(SEARCH("Failed",J185)))</formula>
    </cfRule>
    <cfRule type="containsText" dxfId="58" priority="7" stopIfTrue="1" operator="containsText" text="Not applicable">
      <formula>NOT(ISERROR(SEARCH("Not applicable",J185)))</formula>
    </cfRule>
    <cfRule type="containsText" dxfId="57" priority="9" stopIfTrue="1" operator="containsText" text="Passed">
      <formula>NOT(ISERROR(SEARCH("Passed",J185)))</formula>
    </cfRule>
  </conditionalFormatting>
  <conditionalFormatting sqref="J190:K193">
    <cfRule type="containsText" dxfId="56" priority="172" stopIfTrue="1" operator="containsText" text="Not applicable">
      <formula>NOT(ISERROR(SEARCH("Not applicable",J190)))</formula>
    </cfRule>
    <cfRule type="containsText" dxfId="55" priority="173" stopIfTrue="1" operator="containsText" text="Failed">
      <formula>NOT(ISERROR(SEARCH("Failed",J190)))</formula>
    </cfRule>
    <cfRule type="containsText" dxfId="54" priority="174" stopIfTrue="1" operator="containsText" text="Passed">
      <formula>NOT(ISERROR(SEARCH("Passed",J190)))</formula>
    </cfRule>
  </conditionalFormatting>
  <conditionalFormatting sqref="J195:K198">
    <cfRule type="containsText" dxfId="53" priority="4" stopIfTrue="1" operator="containsText" text="Not applicable">
      <formula>NOT(ISERROR(SEARCH("Not applicable",J195)))</formula>
    </cfRule>
    <cfRule type="containsText" dxfId="52" priority="5" stopIfTrue="1" operator="containsText" text="Failed">
      <formula>NOT(ISERROR(SEARCH("Failed",J195)))</formula>
    </cfRule>
    <cfRule type="containsText" dxfId="51" priority="6" stopIfTrue="1" operator="containsText" text="Passed">
      <formula>NOT(ISERROR(SEARCH("Passed",J195)))</formula>
    </cfRule>
  </conditionalFormatting>
  <conditionalFormatting sqref="J200:K203">
    <cfRule type="containsText" dxfId="50" priority="150" stopIfTrue="1" operator="containsText" text="Passed">
      <formula>NOT(ISERROR(SEARCH("Passed",J200)))</formula>
    </cfRule>
    <cfRule type="containsText" dxfId="49" priority="149" stopIfTrue="1" operator="containsText" text="Failed">
      <formula>NOT(ISERROR(SEARCH("Failed",J200)))</formula>
    </cfRule>
    <cfRule type="containsText" dxfId="48" priority="148" stopIfTrue="1" operator="containsText" text="Not applicable">
      <formula>NOT(ISERROR(SEARCH("Not applicable",J200)))</formula>
    </cfRule>
  </conditionalFormatting>
  <conditionalFormatting sqref="J205:K208">
    <cfRule type="containsText" dxfId="47" priority="3" stopIfTrue="1" operator="containsText" text="Passed">
      <formula>NOT(ISERROR(SEARCH("Passed",J205)))</formula>
    </cfRule>
    <cfRule type="containsText" dxfId="46" priority="1" stopIfTrue="1" operator="containsText" text="Not applicable">
      <formula>NOT(ISERROR(SEARCH("Not applicable",J205)))</formula>
    </cfRule>
    <cfRule type="containsText" dxfId="45" priority="2" stopIfTrue="1" operator="containsText" text="Failed">
      <formula>NOT(ISERROR(SEARCH("Failed",J205)))</formula>
    </cfRule>
  </conditionalFormatting>
  <conditionalFormatting sqref="J210:K213">
    <cfRule type="containsText" dxfId="44" priority="126" stopIfTrue="1" operator="containsText" text="Passed">
      <formula>NOT(ISERROR(SEARCH("Passed",J210)))</formula>
    </cfRule>
    <cfRule type="containsText" dxfId="43" priority="125" stopIfTrue="1" operator="containsText" text="Failed">
      <formula>NOT(ISERROR(SEARCH("Failed",J210)))</formula>
    </cfRule>
    <cfRule type="containsText" dxfId="42" priority="124" stopIfTrue="1" operator="containsText" text="Not applicable">
      <formula>NOT(ISERROR(SEARCH("Not applicable",J210)))</formula>
    </cfRule>
  </conditionalFormatting>
  <conditionalFormatting sqref="J215:K216">
    <cfRule type="containsText" dxfId="41" priority="119" stopIfTrue="1" operator="containsText" text="Failed">
      <formula>NOT(ISERROR(SEARCH("Failed",J215)))</formula>
    </cfRule>
    <cfRule type="containsText" dxfId="40" priority="118" stopIfTrue="1" operator="containsText" text="Not applicable">
      <formula>NOT(ISERROR(SEARCH("Not applicable",J215)))</formula>
    </cfRule>
    <cfRule type="containsText" dxfId="39" priority="120" stopIfTrue="1" operator="containsText" text="Passed">
      <formula>NOT(ISERROR(SEARCH("Passed",J215)))</formula>
    </cfRule>
  </conditionalFormatting>
  <conditionalFormatting sqref="J218:K219">
    <cfRule type="containsText" dxfId="38" priority="114" stopIfTrue="1" operator="containsText" text="Passed">
      <formula>NOT(ISERROR(SEARCH("Passed",J218)))</formula>
    </cfRule>
    <cfRule type="containsText" dxfId="37" priority="113" stopIfTrue="1" operator="containsText" text="Failed">
      <formula>NOT(ISERROR(SEARCH("Failed",J218)))</formula>
    </cfRule>
    <cfRule type="containsText" dxfId="36" priority="112" stopIfTrue="1" operator="containsText" text="Not applicable">
      <formula>NOT(ISERROR(SEARCH("Not applicable",J218)))</formula>
    </cfRule>
  </conditionalFormatting>
  <conditionalFormatting sqref="J221:K222">
    <cfRule type="containsText" dxfId="35" priority="108" stopIfTrue="1" operator="containsText" text="Passed">
      <formula>NOT(ISERROR(SEARCH("Passed",J221)))</formula>
    </cfRule>
    <cfRule type="containsText" dxfId="34" priority="107" stopIfTrue="1" operator="containsText" text="Failed">
      <formula>NOT(ISERROR(SEARCH("Failed",J221)))</formula>
    </cfRule>
    <cfRule type="containsText" dxfId="33" priority="106" stopIfTrue="1" operator="containsText" text="Not applicable">
      <formula>NOT(ISERROR(SEARCH("Not applicable",J221)))</formula>
    </cfRule>
  </conditionalFormatting>
  <conditionalFormatting sqref="J224:K225">
    <cfRule type="containsText" dxfId="32" priority="102" stopIfTrue="1" operator="containsText" text="Passed">
      <formula>NOT(ISERROR(SEARCH("Passed",J224)))</formula>
    </cfRule>
    <cfRule type="containsText" dxfId="31" priority="101" stopIfTrue="1" operator="containsText" text="Failed">
      <formula>NOT(ISERROR(SEARCH("Failed",J224)))</formula>
    </cfRule>
    <cfRule type="containsText" dxfId="30" priority="100" stopIfTrue="1" operator="containsText" text="Not applicable">
      <formula>NOT(ISERROR(SEARCH("Not applicable",J224)))</formula>
    </cfRule>
  </conditionalFormatting>
  <conditionalFormatting sqref="J227:K228">
    <cfRule type="containsText" dxfId="29" priority="96" stopIfTrue="1" operator="containsText" text="Passed">
      <formula>NOT(ISERROR(SEARCH("Passed",J227)))</formula>
    </cfRule>
    <cfRule type="containsText" dxfId="28" priority="95" stopIfTrue="1" operator="containsText" text="Failed">
      <formula>NOT(ISERROR(SEARCH("Failed",J227)))</formula>
    </cfRule>
    <cfRule type="containsText" dxfId="27" priority="94" stopIfTrue="1" operator="containsText" text="Not applicable">
      <formula>NOT(ISERROR(SEARCH("Not applicable",J227)))</formula>
    </cfRule>
  </conditionalFormatting>
  <conditionalFormatting sqref="J230:K231">
    <cfRule type="containsText" dxfId="26" priority="90" stopIfTrue="1" operator="containsText" text="Passed">
      <formula>NOT(ISERROR(SEARCH("Passed",J230)))</formula>
    </cfRule>
    <cfRule type="containsText" dxfId="25" priority="89" stopIfTrue="1" operator="containsText" text="Failed">
      <formula>NOT(ISERROR(SEARCH("Failed",J230)))</formula>
    </cfRule>
    <cfRule type="containsText" dxfId="24" priority="88" stopIfTrue="1" operator="containsText" text="Not applicable">
      <formula>NOT(ISERROR(SEARCH("Not applicable",J230)))</formula>
    </cfRule>
  </conditionalFormatting>
  <conditionalFormatting sqref="J233:K234">
    <cfRule type="containsText" dxfId="23" priority="82" stopIfTrue="1" operator="containsText" text="Not applicable">
      <formula>NOT(ISERROR(SEARCH("Not applicable",J233)))</formula>
    </cfRule>
    <cfRule type="containsText" dxfId="22" priority="83" stopIfTrue="1" operator="containsText" text="Failed">
      <formula>NOT(ISERROR(SEARCH("Failed",J233)))</formula>
    </cfRule>
    <cfRule type="containsText" dxfId="21" priority="84" stopIfTrue="1" operator="containsText" text="Passed">
      <formula>NOT(ISERROR(SEARCH("Passed",J233)))</formula>
    </cfRule>
  </conditionalFormatting>
  <conditionalFormatting sqref="J236:K237">
    <cfRule type="containsText" dxfId="20" priority="78" stopIfTrue="1" operator="containsText" text="Passed">
      <formula>NOT(ISERROR(SEARCH("Passed",J236)))</formula>
    </cfRule>
    <cfRule type="containsText" dxfId="19" priority="76" stopIfTrue="1" operator="containsText" text="Not applicable">
      <formula>NOT(ISERROR(SEARCH("Not applicable",J236)))</formula>
    </cfRule>
    <cfRule type="containsText" dxfId="18" priority="77" stopIfTrue="1" operator="containsText" text="Failed">
      <formula>NOT(ISERROR(SEARCH("Failed",J236)))</formula>
    </cfRule>
  </conditionalFormatting>
  <conditionalFormatting sqref="J239:K240">
    <cfRule type="containsText" dxfId="17" priority="72" stopIfTrue="1" operator="containsText" text="Passed">
      <formula>NOT(ISERROR(SEARCH("Passed",J239)))</formula>
    </cfRule>
    <cfRule type="containsText" dxfId="16" priority="71" stopIfTrue="1" operator="containsText" text="Failed">
      <formula>NOT(ISERROR(SEARCH("Failed",J239)))</formula>
    </cfRule>
    <cfRule type="containsText" dxfId="15" priority="70" stopIfTrue="1" operator="containsText" text="Not applicable">
      <formula>NOT(ISERROR(SEARCH("Not applicable",J239)))</formula>
    </cfRule>
  </conditionalFormatting>
  <conditionalFormatting sqref="J242:K243">
    <cfRule type="containsText" dxfId="14" priority="66" stopIfTrue="1" operator="containsText" text="Passed">
      <formula>NOT(ISERROR(SEARCH("Passed",J242)))</formula>
    </cfRule>
    <cfRule type="containsText" dxfId="13" priority="65" stopIfTrue="1" operator="containsText" text="Failed">
      <formula>NOT(ISERROR(SEARCH("Failed",J242)))</formula>
    </cfRule>
    <cfRule type="containsText" dxfId="12" priority="64" stopIfTrue="1" operator="containsText" text="Not applicable">
      <formula>NOT(ISERROR(SEARCH("Not applicable",J242)))</formula>
    </cfRule>
  </conditionalFormatting>
  <conditionalFormatting sqref="J245:K246">
    <cfRule type="containsText" dxfId="11" priority="60" stopIfTrue="1" operator="containsText" text="Passed">
      <formula>NOT(ISERROR(SEARCH("Passed",J245)))</formula>
    </cfRule>
    <cfRule type="containsText" dxfId="10" priority="59" stopIfTrue="1" operator="containsText" text="Failed">
      <formula>NOT(ISERROR(SEARCH("Failed",J245)))</formula>
    </cfRule>
    <cfRule type="containsText" dxfId="9" priority="58" stopIfTrue="1" operator="containsText" text="Not applicable">
      <formula>NOT(ISERROR(SEARCH("Not applicable",J245)))</formula>
    </cfRule>
  </conditionalFormatting>
  <conditionalFormatting sqref="J248:K249">
    <cfRule type="containsText" dxfId="8" priority="54" stopIfTrue="1" operator="containsText" text="Passed">
      <formula>NOT(ISERROR(SEARCH("Passed",J248)))</formula>
    </cfRule>
    <cfRule type="containsText" dxfId="7" priority="53" stopIfTrue="1" operator="containsText" text="Failed">
      <formula>NOT(ISERROR(SEARCH("Failed",J248)))</formula>
    </cfRule>
    <cfRule type="containsText" dxfId="6" priority="52" stopIfTrue="1" operator="containsText" text="Not applicable">
      <formula>NOT(ISERROR(SEARCH("Not applicable",J248)))</formula>
    </cfRule>
  </conditionalFormatting>
  <conditionalFormatting sqref="J251:K252">
    <cfRule type="containsText" dxfId="5" priority="48" stopIfTrue="1" operator="containsText" text="Passed">
      <formula>NOT(ISERROR(SEARCH("Passed",J251)))</formula>
    </cfRule>
    <cfRule type="containsText" dxfId="4" priority="46" stopIfTrue="1" operator="containsText" text="Not applicable">
      <formula>NOT(ISERROR(SEARCH("Not applicable",J251)))</formula>
    </cfRule>
    <cfRule type="containsText" dxfId="3" priority="47" stopIfTrue="1" operator="containsText" text="Failed">
      <formula>NOT(ISERROR(SEARCH("Failed",J251)))</formula>
    </cfRule>
  </conditionalFormatting>
  <conditionalFormatting sqref="J254:K255">
    <cfRule type="containsText" dxfId="2" priority="42" stopIfTrue="1" operator="containsText" text="Passed">
      <formula>NOT(ISERROR(SEARCH("Passed",J254)))</formula>
    </cfRule>
    <cfRule type="containsText" dxfId="1" priority="41" stopIfTrue="1" operator="containsText" text="Failed">
      <formula>NOT(ISERROR(SEARCH("Failed",J254)))</formula>
    </cfRule>
    <cfRule type="containsText" dxfId="0" priority="40" stopIfTrue="1" operator="containsText" text="Not applicable">
      <formula>NOT(ISERROR(SEARCH("Not applicable",J254)))</formula>
    </cfRule>
  </conditionalFormatting>
  <dataValidations xWindow="1288" yWindow="907" count="5">
    <dataValidation type="list" allowBlank="1" showInputMessage="1" showErrorMessage="1" promptTitle="Test verdict" prompt="Pick the verdict from the list. Don't type it manually." sqref="K59 K61 K63:K66" xr:uid="{00DDFD5A-1502-4D21-B2ED-8642E2A42E97}">
      <formula1>"Passed,Failed,Not applicable"</formula1>
    </dataValidation>
    <dataValidation type="list" allowBlank="1" showErrorMessage="1" promptTitle="Test verdict" prompt="Pick the verdict from the list. Don't type it manually." sqref="K168:K171 K210:K213 K88 K86 K224:K225 K218:K219 K90:K91 K111:K112 K123:K124 K126:K127 K117:K118 K129 K108:K109 K120:K121 K114:K115 K148:K151 K236:K237 K230:K231 K182:K183 K176:K177 K190:K193 K200:K203 K248:K249 K131 K242:K243 K251:K252 K138:K141 K158:K161 K68:K71 K73:K76 K78:K81 K83:K84 K93:K96 K98:K101 K103:K106 K133:K136 K143:K146 K153:K156 K163:K166 K173:K174 K179:K180 K185:K188 K195:K198 K205:K208 K215:K216 K221:K222 K227:K228 K233:K234 K239:K240 K245:K246 K254:K255" xr:uid="{43F3A6EC-45FA-4F73-B5B6-D2B9AFF00E72}">
      <formula1>"Passed,Failed,Not applicable"</formula1>
    </dataValidation>
    <dataValidation type="list" allowBlank="1" showInputMessage="1" showErrorMessage="1" promptTitle="Usage" prompt="Set to 'yes' if the data point is supported, otherwise set to 'no'." sqref="D15:D21" xr:uid="{E3199165-786E-4CAD-8EDC-E751E654B06F}">
      <formula1>"Yes,No"</formula1>
    </dataValidation>
    <dataValidation type="list" allowBlank="1" showInputMessage="1" showErrorMessage="1" promptTitle="Usage" prompt="Set to 'yes' if the phase is supported, otherwise set to 'no'." sqref="D10:D12" xr:uid="{16E7ECAF-13F4-4407-A113-3075C1012843}">
      <formula1>"Yes,No"</formula1>
    </dataValidation>
    <dataValidation type="list" allowBlank="1" showInputMessage="1" showErrorMessage="1" promptTitle="Usage" prompt="Set to 'yes' if the EventTrigger is supported, otherwise set to 'no'." sqref="D6:D7" xr:uid="{F46461D9-642F-4E07-944E-6F27C5F0E28B}">
      <formula1>"Yes,No"</formula1>
    </dataValidation>
  </dataValidations>
  <printOptions horizontalCentered="1"/>
  <pageMargins left="0.25" right="0.25" top="0.75" bottom="0.75" header="0.3" footer="0.3"/>
  <pageSetup scale="31" fitToHeight="0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777B-C8A6-4953-BF0A-29EFBFA12232}">
  <sheetPr>
    <tabColor theme="3" tint="0.39997558519241921"/>
    <pageSetUpPr fitToPage="1"/>
  </sheetPr>
  <dimension ref="A1:BD890"/>
  <sheetViews>
    <sheetView showGridLines="0" zoomScaleNormal="100" zoomScalePageLayoutView="110" workbookViewId="0">
      <pane ySplit="1" topLeftCell="A2" activePane="bottomLeft" state="frozen"/>
      <selection pane="bottomLeft"/>
    </sheetView>
  </sheetViews>
  <sheetFormatPr defaultColWidth="14.42578125" defaultRowHeight="15.75" customHeight="1" x14ac:dyDescent="0.2"/>
  <cols>
    <col min="1" max="1" width="3" style="52" customWidth="1"/>
    <col min="2" max="2" width="8.7109375" style="7" customWidth="1"/>
    <col min="3" max="3" width="20.7109375" customWidth="1"/>
    <col min="4" max="4" width="10.7109375" customWidth="1"/>
    <col min="5" max="5" width="22.7109375" customWidth="1"/>
    <col min="6" max="7" width="15.7109375" customWidth="1"/>
    <col min="8" max="8" width="30.7109375" customWidth="1"/>
    <col min="9" max="9" width="11.7109375" customWidth="1"/>
    <col min="10" max="10" width="15.7109375" customWidth="1"/>
    <col min="11" max="11" width="24.7109375" customWidth="1"/>
    <col min="12" max="12" width="16.7109375" customWidth="1"/>
    <col min="13" max="13" width="15.7109375" customWidth="1"/>
    <col min="14" max="15" width="17.7109375" customWidth="1"/>
    <col min="16" max="16" width="60.7109375" customWidth="1"/>
    <col min="17" max="18" width="14.42578125" customWidth="1"/>
  </cols>
  <sheetData>
    <row r="1" spans="1:56" s="4" customFormat="1" ht="45" customHeight="1" x14ac:dyDescent="0.2">
      <c r="C1" s="3"/>
      <c r="D1" s="137" t="s">
        <v>116</v>
      </c>
      <c r="E1" s="137"/>
      <c r="F1" s="137"/>
      <c r="G1" s="137"/>
      <c r="H1" s="3"/>
      <c r="I1" s="14"/>
      <c r="J1" s="14"/>
      <c r="K1" s="14"/>
      <c r="L1" s="8"/>
      <c r="M1" s="8"/>
      <c r="N1" s="3"/>
      <c r="O1" s="3"/>
      <c r="P1" s="3"/>
      <c r="Q1" s="3"/>
      <c r="R1" s="3"/>
      <c r="S1" s="3"/>
      <c r="T1" s="3"/>
    </row>
    <row r="2" spans="1:56" ht="22.15" customHeight="1" x14ac:dyDescent="0.2">
      <c r="A2" s="51"/>
      <c r="B2" s="13" t="s">
        <v>0</v>
      </c>
      <c r="C2" s="59" t="s">
        <v>5</v>
      </c>
      <c r="D2" s="141" t="s">
        <v>2</v>
      </c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</row>
    <row r="3" spans="1:56" ht="55.15" customHeight="1" x14ac:dyDescent="0.25">
      <c r="A3" s="30"/>
      <c r="B3" s="40"/>
      <c r="C3" s="53"/>
      <c r="D3" s="138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40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</row>
    <row r="4" spans="1:56" ht="55.15" customHeight="1" x14ac:dyDescent="0.25">
      <c r="A4" s="30"/>
      <c r="B4" s="12"/>
      <c r="C4" s="53"/>
      <c r="D4" s="138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40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</row>
    <row r="5" spans="1:56" ht="55.15" customHeight="1" x14ac:dyDescent="0.25">
      <c r="A5" s="30"/>
      <c r="B5" s="12"/>
      <c r="C5" s="53"/>
      <c r="D5" s="138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40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</row>
    <row r="6" spans="1:56" ht="55.15" customHeight="1" x14ac:dyDescent="0.25">
      <c r="A6" s="30"/>
      <c r="B6" s="12"/>
      <c r="C6" s="53"/>
      <c r="D6" s="138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40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</row>
    <row r="7" spans="1:56" ht="55.15" customHeight="1" x14ac:dyDescent="0.25">
      <c r="A7" s="30"/>
      <c r="B7" s="12"/>
      <c r="C7" s="53"/>
      <c r="D7" s="138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40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</row>
    <row r="8" spans="1:56" ht="55.15" customHeight="1" x14ac:dyDescent="0.25">
      <c r="A8" s="30"/>
      <c r="B8" s="12"/>
      <c r="C8" s="53"/>
      <c r="D8" s="138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40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</row>
    <row r="9" spans="1:56" s="52" customFormat="1" ht="12.75" x14ac:dyDescent="0.2">
      <c r="A9" s="51"/>
      <c r="B9" s="54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</row>
    <row r="10" spans="1:56" s="52" customFormat="1" ht="12.75" x14ac:dyDescent="0.2">
      <c r="B10" s="55"/>
    </row>
    <row r="11" spans="1:56" s="52" customFormat="1" ht="12.75" x14ac:dyDescent="0.2">
      <c r="A11" s="51"/>
      <c r="B11" s="54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</row>
    <row r="12" spans="1:56" s="52" customFormat="1" ht="12.75" x14ac:dyDescent="0.2">
      <c r="A12" s="51"/>
      <c r="B12" s="54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</row>
    <row r="13" spans="1:56" s="52" customFormat="1" ht="12.75" x14ac:dyDescent="0.2">
      <c r="A13" s="51"/>
      <c r="B13" s="54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spans="1:56" s="52" customFormat="1" ht="12.75" x14ac:dyDescent="0.2">
      <c r="A14" s="51"/>
      <c r="B14" s="54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</row>
    <row r="15" spans="1:56" s="52" customFormat="1" ht="12.75" x14ac:dyDescent="0.2">
      <c r="A15" s="51"/>
      <c r="B15" s="54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</row>
    <row r="16" spans="1:56" s="52" customFormat="1" ht="12.75" x14ac:dyDescent="0.2">
      <c r="A16" s="51"/>
      <c r="B16" s="54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</row>
    <row r="17" spans="1:17" s="52" customFormat="1" ht="12.75" x14ac:dyDescent="0.2">
      <c r="A17" s="51"/>
      <c r="B17" s="54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</row>
    <row r="18" spans="1:17" s="52" customFormat="1" ht="12.75" x14ac:dyDescent="0.2">
      <c r="A18" s="51"/>
      <c r="B18" s="54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</row>
    <row r="19" spans="1:17" s="52" customFormat="1" ht="12.75" x14ac:dyDescent="0.2">
      <c r="A19" s="51"/>
      <c r="B19" s="54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</row>
    <row r="20" spans="1:17" s="52" customFormat="1" ht="12.75" x14ac:dyDescent="0.2">
      <c r="A20" s="51"/>
      <c r="B20" s="54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</row>
    <row r="21" spans="1:17" s="52" customFormat="1" ht="12.75" x14ac:dyDescent="0.2">
      <c r="A21" s="51"/>
      <c r="B21" s="54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</row>
    <row r="22" spans="1:17" s="52" customFormat="1" ht="12.75" x14ac:dyDescent="0.2">
      <c r="A22" s="51"/>
      <c r="B22" s="54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</row>
    <row r="23" spans="1:17" s="52" customFormat="1" ht="12.75" x14ac:dyDescent="0.2">
      <c r="A23" s="51"/>
      <c r="B23" s="54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</row>
    <row r="24" spans="1:17" s="52" customFormat="1" ht="12.75" x14ac:dyDescent="0.2">
      <c r="A24" s="51"/>
      <c r="B24" s="54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</row>
    <row r="25" spans="1:17" s="52" customFormat="1" ht="12.75" x14ac:dyDescent="0.2">
      <c r="A25" s="51"/>
      <c r="B25" s="54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</row>
    <row r="26" spans="1:17" s="52" customFormat="1" ht="12.75" x14ac:dyDescent="0.2">
      <c r="A26" s="51"/>
      <c r="B26" s="54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</row>
    <row r="27" spans="1:17" s="52" customFormat="1" ht="12.75" x14ac:dyDescent="0.2">
      <c r="A27" s="51"/>
      <c r="B27" s="54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</row>
    <row r="28" spans="1:17" s="52" customFormat="1" ht="12.75" x14ac:dyDescent="0.2">
      <c r="A28" s="51"/>
      <c r="B28" s="54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</row>
    <row r="29" spans="1:17" s="52" customFormat="1" ht="12.75" x14ac:dyDescent="0.2">
      <c r="A29" s="51"/>
      <c r="B29" s="54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</row>
    <row r="30" spans="1:17" s="52" customFormat="1" ht="12.75" x14ac:dyDescent="0.2">
      <c r="A30" s="51"/>
      <c r="B30" s="54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</row>
    <row r="31" spans="1:17" s="52" customFormat="1" ht="12.75" x14ac:dyDescent="0.2">
      <c r="A31" s="51"/>
      <c r="B31" s="54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</row>
    <row r="32" spans="1:17" s="52" customFormat="1" ht="12.75" x14ac:dyDescent="0.2">
      <c r="A32" s="51"/>
      <c r="B32" s="54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</row>
    <row r="33" spans="1:17" s="52" customFormat="1" ht="12.75" x14ac:dyDescent="0.2">
      <c r="A33" s="51"/>
      <c r="B33" s="54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</row>
    <row r="34" spans="1:17" s="52" customFormat="1" ht="12.75" x14ac:dyDescent="0.2">
      <c r="A34" s="51"/>
      <c r="B34" s="54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</row>
    <row r="35" spans="1:17" s="52" customFormat="1" ht="12.75" x14ac:dyDescent="0.2">
      <c r="A35" s="51"/>
      <c r="B35" s="54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</row>
    <row r="36" spans="1:17" s="52" customFormat="1" ht="12.75" x14ac:dyDescent="0.2">
      <c r="A36" s="51"/>
      <c r="B36" s="54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</row>
    <row r="37" spans="1:17" s="52" customFormat="1" ht="12.75" x14ac:dyDescent="0.2">
      <c r="A37" s="51"/>
      <c r="B37" s="54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</row>
    <row r="38" spans="1:17" s="52" customFormat="1" ht="12.75" x14ac:dyDescent="0.2">
      <c r="A38" s="51"/>
      <c r="B38" s="54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</row>
    <row r="39" spans="1:17" s="52" customFormat="1" ht="12.75" x14ac:dyDescent="0.2">
      <c r="A39" s="51"/>
      <c r="B39" s="54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</row>
    <row r="40" spans="1:17" s="52" customFormat="1" ht="12.75" x14ac:dyDescent="0.2">
      <c r="A40" s="51"/>
      <c r="B40" s="54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</row>
    <row r="41" spans="1:17" s="52" customFormat="1" ht="12.75" x14ac:dyDescent="0.2">
      <c r="A41" s="51"/>
      <c r="B41" s="54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</row>
    <row r="42" spans="1:17" s="52" customFormat="1" ht="12.75" x14ac:dyDescent="0.2">
      <c r="A42" s="51"/>
      <c r="B42" s="54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</row>
    <row r="43" spans="1:17" s="52" customFormat="1" ht="12.75" x14ac:dyDescent="0.2">
      <c r="A43" s="51"/>
      <c r="B43" s="54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</row>
    <row r="44" spans="1:17" s="52" customFormat="1" ht="12.75" x14ac:dyDescent="0.2">
      <c r="A44" s="51"/>
      <c r="B44" s="54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</row>
    <row r="45" spans="1:17" s="52" customFormat="1" ht="12.75" x14ac:dyDescent="0.2">
      <c r="A45" s="51"/>
      <c r="B45" s="54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</row>
    <row r="46" spans="1:17" s="52" customFormat="1" ht="12.75" x14ac:dyDescent="0.2">
      <c r="A46" s="51"/>
      <c r="B46" s="54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</row>
    <row r="47" spans="1:17" s="52" customFormat="1" ht="12.75" x14ac:dyDescent="0.2">
      <c r="A47" s="51"/>
      <c r="B47" s="54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</row>
    <row r="48" spans="1:17" s="52" customFormat="1" ht="12.75" x14ac:dyDescent="0.2">
      <c r="A48" s="51"/>
      <c r="B48" s="54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</row>
    <row r="49" spans="1:17" s="52" customFormat="1" ht="12.75" x14ac:dyDescent="0.2">
      <c r="A49" s="51"/>
      <c r="B49" s="54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</row>
    <row r="50" spans="1:17" s="52" customFormat="1" ht="12.75" x14ac:dyDescent="0.2">
      <c r="A50" s="51"/>
      <c r="B50" s="54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</row>
    <row r="51" spans="1:17" s="52" customFormat="1" ht="12.75" x14ac:dyDescent="0.2">
      <c r="A51" s="51"/>
      <c r="B51" s="54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</row>
    <row r="52" spans="1:17" s="52" customFormat="1" ht="12.75" x14ac:dyDescent="0.2">
      <c r="A52" s="51"/>
      <c r="B52" s="54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</row>
    <row r="53" spans="1:17" s="52" customFormat="1" ht="12.75" x14ac:dyDescent="0.2">
      <c r="A53" s="51"/>
      <c r="B53" s="54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</row>
    <row r="54" spans="1:17" s="52" customFormat="1" ht="12.75" x14ac:dyDescent="0.2">
      <c r="A54" s="51"/>
      <c r="B54" s="54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</row>
    <row r="55" spans="1:17" s="52" customFormat="1" ht="12.75" x14ac:dyDescent="0.2">
      <c r="A55" s="51"/>
      <c r="B55" s="54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</row>
    <row r="56" spans="1:17" s="52" customFormat="1" ht="12.75" x14ac:dyDescent="0.2">
      <c r="A56" s="51"/>
      <c r="B56" s="54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</row>
    <row r="57" spans="1:17" s="52" customFormat="1" ht="12.75" x14ac:dyDescent="0.2">
      <c r="A57" s="51"/>
      <c r="B57" s="54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</row>
    <row r="58" spans="1:17" s="52" customFormat="1" ht="12.75" x14ac:dyDescent="0.2">
      <c r="A58" s="51"/>
      <c r="B58" s="54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</row>
    <row r="59" spans="1:17" s="52" customFormat="1" ht="12.75" x14ac:dyDescent="0.2">
      <c r="A59" s="51"/>
      <c r="B59" s="54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</row>
    <row r="60" spans="1:17" s="52" customFormat="1" ht="12.75" x14ac:dyDescent="0.2">
      <c r="A60" s="51"/>
      <c r="B60" s="54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</row>
    <row r="61" spans="1:17" s="52" customFormat="1" ht="12.75" x14ac:dyDescent="0.2">
      <c r="A61" s="51"/>
      <c r="B61" s="54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</row>
    <row r="62" spans="1:17" s="52" customFormat="1" ht="12.75" x14ac:dyDescent="0.2">
      <c r="A62" s="51"/>
      <c r="B62" s="54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</row>
    <row r="63" spans="1:17" s="52" customFormat="1" ht="12.75" x14ac:dyDescent="0.2">
      <c r="A63" s="51"/>
      <c r="B63" s="54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</row>
    <row r="64" spans="1:17" s="52" customFormat="1" ht="12.75" x14ac:dyDescent="0.2">
      <c r="A64" s="51"/>
      <c r="B64" s="54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</row>
    <row r="65" spans="1:17" s="52" customFormat="1" ht="12.75" x14ac:dyDescent="0.2">
      <c r="A65" s="51"/>
      <c r="B65" s="54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</row>
    <row r="66" spans="1:17" s="52" customFormat="1" ht="12.75" x14ac:dyDescent="0.2">
      <c r="A66" s="51"/>
      <c r="B66" s="54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</row>
    <row r="67" spans="1:17" s="52" customFormat="1" ht="12.75" x14ac:dyDescent="0.2">
      <c r="A67" s="51"/>
      <c r="B67" s="54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</row>
    <row r="68" spans="1:17" s="52" customFormat="1" ht="12.75" x14ac:dyDescent="0.2">
      <c r="A68" s="51"/>
      <c r="B68" s="54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</row>
    <row r="69" spans="1:17" s="52" customFormat="1" ht="12.75" x14ac:dyDescent="0.2">
      <c r="A69" s="51"/>
      <c r="B69" s="54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</row>
    <row r="70" spans="1:17" s="52" customFormat="1" ht="12.75" x14ac:dyDescent="0.2">
      <c r="A70" s="51"/>
      <c r="B70" s="54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</row>
    <row r="71" spans="1:17" s="52" customFormat="1" ht="12.75" x14ac:dyDescent="0.2">
      <c r="A71" s="51"/>
      <c r="B71" s="54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</row>
    <row r="72" spans="1:17" s="52" customFormat="1" ht="12.75" x14ac:dyDescent="0.2">
      <c r="A72" s="51"/>
      <c r="B72" s="54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</row>
    <row r="73" spans="1:17" s="52" customFormat="1" ht="12.75" x14ac:dyDescent="0.2">
      <c r="A73" s="51"/>
      <c r="B73" s="54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</row>
    <row r="74" spans="1:17" s="52" customFormat="1" ht="12.75" x14ac:dyDescent="0.2">
      <c r="A74" s="51"/>
      <c r="B74" s="54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</row>
    <row r="75" spans="1:17" s="52" customFormat="1" ht="12.75" x14ac:dyDescent="0.2">
      <c r="A75" s="51"/>
      <c r="B75" s="54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</row>
    <row r="76" spans="1:17" s="52" customFormat="1" ht="12.75" x14ac:dyDescent="0.2">
      <c r="A76" s="51"/>
      <c r="B76" s="54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</row>
    <row r="77" spans="1:17" s="52" customFormat="1" ht="12.75" x14ac:dyDescent="0.2">
      <c r="A77" s="51"/>
      <c r="B77" s="54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</row>
    <row r="78" spans="1:17" s="52" customFormat="1" ht="12.75" x14ac:dyDescent="0.2">
      <c r="A78" s="51"/>
      <c r="B78" s="54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</row>
    <row r="79" spans="1:17" s="52" customFormat="1" ht="12.75" x14ac:dyDescent="0.2">
      <c r="A79" s="51"/>
      <c r="B79" s="54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</row>
    <row r="80" spans="1:17" s="52" customFormat="1" ht="12.75" x14ac:dyDescent="0.2">
      <c r="A80" s="51"/>
      <c r="B80" s="54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</row>
    <row r="81" spans="1:17" s="52" customFormat="1" ht="12.75" x14ac:dyDescent="0.2">
      <c r="A81" s="51"/>
      <c r="B81" s="54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</row>
    <row r="82" spans="1:17" s="52" customFormat="1" ht="12.75" x14ac:dyDescent="0.2">
      <c r="A82" s="51"/>
      <c r="B82" s="54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</row>
    <row r="83" spans="1:17" s="52" customFormat="1" ht="12.75" x14ac:dyDescent="0.2">
      <c r="A83" s="51"/>
      <c r="B83" s="54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</row>
    <row r="84" spans="1:17" s="52" customFormat="1" ht="12.75" x14ac:dyDescent="0.2">
      <c r="A84" s="51"/>
      <c r="B84" s="54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</row>
    <row r="85" spans="1:17" s="52" customFormat="1" ht="12.75" x14ac:dyDescent="0.2">
      <c r="A85" s="51"/>
      <c r="B85" s="54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</row>
    <row r="86" spans="1:17" s="52" customFormat="1" ht="12.75" x14ac:dyDescent="0.2">
      <c r="A86" s="51"/>
      <c r="B86" s="54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</row>
    <row r="87" spans="1:17" s="52" customFormat="1" ht="12.75" x14ac:dyDescent="0.2">
      <c r="A87" s="51"/>
      <c r="B87" s="54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</row>
    <row r="88" spans="1:17" s="52" customFormat="1" ht="12.75" x14ac:dyDescent="0.2">
      <c r="A88" s="51"/>
      <c r="B88" s="54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</row>
    <row r="89" spans="1:17" s="52" customFormat="1" ht="12.75" x14ac:dyDescent="0.2">
      <c r="A89" s="51"/>
      <c r="B89" s="54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</row>
    <row r="90" spans="1:17" s="52" customFormat="1" ht="12.75" x14ac:dyDescent="0.2">
      <c r="A90" s="51"/>
      <c r="B90" s="54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</row>
    <row r="91" spans="1:17" s="52" customFormat="1" ht="12.75" x14ac:dyDescent="0.2">
      <c r="A91" s="51"/>
      <c r="B91" s="54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</row>
    <row r="92" spans="1:17" s="52" customFormat="1" ht="12.75" x14ac:dyDescent="0.2">
      <c r="A92" s="51"/>
      <c r="B92" s="54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</row>
    <row r="93" spans="1:17" s="52" customFormat="1" ht="12.75" x14ac:dyDescent="0.2">
      <c r="A93" s="51"/>
      <c r="B93" s="54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</row>
    <row r="94" spans="1:17" s="52" customFormat="1" ht="12.75" x14ac:dyDescent="0.2">
      <c r="A94" s="51"/>
      <c r="B94" s="54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</row>
    <row r="95" spans="1:17" s="52" customFormat="1" ht="12.75" x14ac:dyDescent="0.2">
      <c r="A95" s="51"/>
      <c r="B95" s="54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</row>
    <row r="96" spans="1:17" s="52" customFormat="1" ht="12.75" x14ac:dyDescent="0.2">
      <c r="A96" s="51"/>
      <c r="B96" s="54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</row>
    <row r="97" spans="1:17" s="52" customFormat="1" ht="12.75" x14ac:dyDescent="0.2">
      <c r="A97" s="51"/>
      <c r="B97" s="54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</row>
    <row r="98" spans="1:17" s="52" customFormat="1" ht="12.75" x14ac:dyDescent="0.2">
      <c r="A98" s="51"/>
      <c r="B98" s="54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</row>
    <row r="99" spans="1:17" s="52" customFormat="1" ht="12.75" x14ac:dyDescent="0.2">
      <c r="A99" s="51"/>
      <c r="B99" s="54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</row>
    <row r="100" spans="1:17" s="52" customFormat="1" ht="12.75" x14ac:dyDescent="0.2">
      <c r="A100" s="51"/>
      <c r="B100" s="54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</row>
    <row r="101" spans="1:17" s="52" customFormat="1" ht="12.75" x14ac:dyDescent="0.2">
      <c r="A101" s="51"/>
      <c r="B101" s="54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</row>
    <row r="102" spans="1:17" s="52" customFormat="1" ht="12.75" x14ac:dyDescent="0.2">
      <c r="A102" s="51"/>
      <c r="B102" s="54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</row>
    <row r="103" spans="1:17" s="52" customFormat="1" ht="12.75" x14ac:dyDescent="0.2">
      <c r="A103" s="51"/>
      <c r="B103" s="54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</row>
    <row r="104" spans="1:17" s="52" customFormat="1" ht="12.75" x14ac:dyDescent="0.2">
      <c r="A104" s="51"/>
      <c r="B104" s="54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</row>
    <row r="105" spans="1:17" s="52" customFormat="1" ht="12.75" x14ac:dyDescent="0.2">
      <c r="A105" s="51"/>
      <c r="B105" s="54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</row>
    <row r="106" spans="1:17" s="52" customFormat="1" ht="12.75" x14ac:dyDescent="0.2">
      <c r="A106" s="51"/>
      <c r="B106" s="54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</row>
    <row r="107" spans="1:17" s="52" customFormat="1" ht="12.75" x14ac:dyDescent="0.2">
      <c r="A107" s="51"/>
      <c r="B107" s="54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</row>
    <row r="108" spans="1:17" s="52" customFormat="1" ht="12.75" x14ac:dyDescent="0.2">
      <c r="A108" s="51"/>
      <c r="B108" s="54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</row>
    <row r="109" spans="1:17" s="52" customFormat="1" ht="12.75" x14ac:dyDescent="0.2">
      <c r="A109" s="51"/>
      <c r="B109" s="54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</row>
    <row r="110" spans="1:17" s="52" customFormat="1" ht="12.75" x14ac:dyDescent="0.2">
      <c r="A110" s="51"/>
      <c r="B110" s="54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</row>
    <row r="111" spans="1:17" s="52" customFormat="1" ht="12.75" x14ac:dyDescent="0.2">
      <c r="A111" s="51"/>
      <c r="B111" s="54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</row>
    <row r="112" spans="1:17" s="52" customFormat="1" ht="12.75" x14ac:dyDescent="0.2">
      <c r="A112" s="51"/>
      <c r="B112" s="54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</row>
    <row r="113" spans="1:17" s="52" customFormat="1" ht="12.75" x14ac:dyDescent="0.2">
      <c r="A113" s="51"/>
      <c r="B113" s="54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</row>
    <row r="114" spans="1:17" s="52" customFormat="1" ht="12.75" x14ac:dyDescent="0.2">
      <c r="A114" s="51"/>
      <c r="B114" s="54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</row>
    <row r="115" spans="1:17" s="52" customFormat="1" ht="12.75" x14ac:dyDescent="0.2">
      <c r="A115" s="51"/>
      <c r="B115" s="54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</row>
    <row r="116" spans="1:17" s="52" customFormat="1" ht="12.75" x14ac:dyDescent="0.2">
      <c r="A116" s="51"/>
      <c r="B116" s="54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</row>
    <row r="117" spans="1:17" s="52" customFormat="1" ht="12.75" x14ac:dyDescent="0.2">
      <c r="A117" s="51"/>
      <c r="B117" s="54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</row>
    <row r="118" spans="1:17" s="52" customFormat="1" ht="12.75" x14ac:dyDescent="0.2">
      <c r="A118" s="51"/>
      <c r="B118" s="54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</row>
    <row r="119" spans="1:17" s="52" customFormat="1" ht="12.75" x14ac:dyDescent="0.2">
      <c r="A119" s="51"/>
      <c r="B119" s="54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</row>
    <row r="120" spans="1:17" s="52" customFormat="1" ht="12.75" x14ac:dyDescent="0.2">
      <c r="A120" s="51"/>
      <c r="B120" s="54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</row>
    <row r="121" spans="1:17" s="52" customFormat="1" ht="12.75" x14ac:dyDescent="0.2">
      <c r="A121" s="51"/>
      <c r="B121" s="54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</row>
    <row r="122" spans="1:17" s="52" customFormat="1" ht="12.75" x14ac:dyDescent="0.2">
      <c r="A122" s="51"/>
      <c r="B122" s="54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</row>
    <row r="123" spans="1:17" s="52" customFormat="1" ht="12.75" x14ac:dyDescent="0.2">
      <c r="A123" s="51"/>
      <c r="B123" s="54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</row>
    <row r="124" spans="1:17" s="52" customFormat="1" ht="12.75" x14ac:dyDescent="0.2">
      <c r="A124" s="51"/>
      <c r="B124" s="54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</row>
    <row r="125" spans="1:17" s="52" customFormat="1" ht="12.75" x14ac:dyDescent="0.2">
      <c r="A125" s="51"/>
      <c r="B125" s="54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</row>
    <row r="126" spans="1:17" s="52" customFormat="1" ht="12.75" x14ac:dyDescent="0.2">
      <c r="A126" s="51"/>
      <c r="B126" s="54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</row>
    <row r="127" spans="1:17" s="52" customFormat="1" ht="12.75" x14ac:dyDescent="0.2">
      <c r="A127" s="51"/>
      <c r="B127" s="54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</row>
    <row r="128" spans="1:17" s="52" customFormat="1" ht="12.75" x14ac:dyDescent="0.2">
      <c r="A128" s="51"/>
      <c r="B128" s="54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</row>
    <row r="129" spans="1:17" s="52" customFormat="1" ht="12.75" x14ac:dyDescent="0.2">
      <c r="A129" s="51"/>
      <c r="B129" s="54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</row>
    <row r="130" spans="1:17" s="52" customFormat="1" ht="12.75" x14ac:dyDescent="0.2">
      <c r="A130" s="51"/>
      <c r="B130" s="54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</row>
    <row r="131" spans="1:17" s="52" customFormat="1" ht="12.75" x14ac:dyDescent="0.2">
      <c r="A131" s="51"/>
      <c r="B131" s="54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</row>
    <row r="132" spans="1:17" s="52" customFormat="1" ht="12.75" x14ac:dyDescent="0.2">
      <c r="A132" s="51"/>
      <c r="B132" s="54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</row>
    <row r="133" spans="1:17" s="52" customFormat="1" ht="12.75" x14ac:dyDescent="0.2">
      <c r="A133" s="51"/>
      <c r="B133" s="54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</row>
    <row r="134" spans="1:17" s="52" customFormat="1" ht="12.75" x14ac:dyDescent="0.2">
      <c r="A134" s="51"/>
      <c r="B134" s="54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</row>
    <row r="135" spans="1:17" s="52" customFormat="1" ht="12.75" x14ac:dyDescent="0.2">
      <c r="A135" s="51"/>
      <c r="B135" s="54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</row>
    <row r="136" spans="1:17" s="52" customFormat="1" ht="12.75" x14ac:dyDescent="0.2">
      <c r="A136" s="51"/>
      <c r="B136" s="54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</row>
    <row r="137" spans="1:17" s="52" customFormat="1" ht="12.75" x14ac:dyDescent="0.2">
      <c r="A137" s="51"/>
      <c r="B137" s="54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</row>
    <row r="138" spans="1:17" s="52" customFormat="1" ht="12.75" x14ac:dyDescent="0.2">
      <c r="A138" s="51"/>
      <c r="B138" s="54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</row>
    <row r="139" spans="1:17" s="52" customFormat="1" ht="12.75" x14ac:dyDescent="0.2">
      <c r="A139" s="51"/>
      <c r="B139" s="54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</row>
    <row r="140" spans="1:17" s="52" customFormat="1" ht="12.75" x14ac:dyDescent="0.2">
      <c r="A140" s="51"/>
      <c r="B140" s="54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</row>
    <row r="141" spans="1:17" s="52" customFormat="1" ht="12.75" x14ac:dyDescent="0.2">
      <c r="A141" s="51"/>
      <c r="B141" s="54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</row>
    <row r="142" spans="1:17" s="52" customFormat="1" ht="12.75" x14ac:dyDescent="0.2">
      <c r="A142" s="51"/>
      <c r="B142" s="54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</row>
    <row r="143" spans="1:17" s="52" customFormat="1" ht="12.75" x14ac:dyDescent="0.2">
      <c r="A143" s="51"/>
      <c r="B143" s="54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</row>
    <row r="144" spans="1:17" s="52" customFormat="1" ht="12.75" x14ac:dyDescent="0.2">
      <c r="A144" s="51"/>
      <c r="B144" s="54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</row>
    <row r="145" spans="1:17" s="52" customFormat="1" ht="12.75" x14ac:dyDescent="0.2">
      <c r="A145" s="51"/>
      <c r="B145" s="54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</row>
    <row r="146" spans="1:17" s="52" customFormat="1" ht="12.75" x14ac:dyDescent="0.2">
      <c r="A146" s="51"/>
      <c r="B146" s="54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</row>
    <row r="147" spans="1:17" s="52" customFormat="1" ht="12.75" x14ac:dyDescent="0.2">
      <c r="A147" s="51"/>
      <c r="B147" s="54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</row>
    <row r="148" spans="1:17" s="52" customFormat="1" ht="12.75" x14ac:dyDescent="0.2">
      <c r="A148" s="51"/>
      <c r="B148" s="54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</row>
    <row r="149" spans="1:17" s="52" customFormat="1" ht="12.75" x14ac:dyDescent="0.2">
      <c r="A149" s="51"/>
      <c r="B149" s="54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</row>
    <row r="150" spans="1:17" s="52" customFormat="1" ht="12.75" x14ac:dyDescent="0.2">
      <c r="A150" s="51"/>
      <c r="B150" s="54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</row>
    <row r="151" spans="1:17" s="52" customFormat="1" ht="12.75" x14ac:dyDescent="0.2">
      <c r="A151" s="51"/>
      <c r="B151" s="54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</row>
    <row r="152" spans="1:17" s="52" customFormat="1" ht="12.75" x14ac:dyDescent="0.2">
      <c r="A152" s="51"/>
      <c r="B152" s="54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</row>
    <row r="153" spans="1:17" s="52" customFormat="1" ht="12.75" x14ac:dyDescent="0.2">
      <c r="A153" s="51"/>
      <c r="B153" s="54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</row>
    <row r="154" spans="1:17" s="52" customFormat="1" ht="12.75" x14ac:dyDescent="0.2">
      <c r="A154" s="51"/>
      <c r="B154" s="54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</row>
    <row r="155" spans="1:17" s="52" customFormat="1" ht="12.75" x14ac:dyDescent="0.2">
      <c r="A155" s="51"/>
      <c r="B155" s="54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</row>
    <row r="156" spans="1:17" s="52" customFormat="1" ht="12.75" x14ac:dyDescent="0.2">
      <c r="A156" s="51"/>
      <c r="B156" s="54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</row>
    <row r="157" spans="1:17" s="52" customFormat="1" ht="12.75" x14ac:dyDescent="0.2">
      <c r="A157" s="51"/>
      <c r="B157" s="54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</row>
    <row r="158" spans="1:17" s="52" customFormat="1" ht="12.75" x14ac:dyDescent="0.2">
      <c r="A158" s="51"/>
      <c r="B158" s="54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</row>
    <row r="159" spans="1:17" s="52" customFormat="1" ht="12.75" x14ac:dyDescent="0.2">
      <c r="A159" s="51"/>
      <c r="B159" s="54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</row>
    <row r="160" spans="1:17" s="52" customFormat="1" ht="12.75" x14ac:dyDescent="0.2">
      <c r="A160" s="51"/>
      <c r="B160" s="54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</row>
    <row r="161" spans="1:17" s="52" customFormat="1" ht="12.75" x14ac:dyDescent="0.2">
      <c r="A161" s="51"/>
      <c r="B161" s="54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</row>
    <row r="162" spans="1:17" s="52" customFormat="1" ht="12.75" x14ac:dyDescent="0.2">
      <c r="A162" s="51"/>
      <c r="B162" s="54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</row>
    <row r="163" spans="1:17" s="52" customFormat="1" ht="12.75" x14ac:dyDescent="0.2">
      <c r="A163" s="51"/>
      <c r="B163" s="54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</row>
    <row r="164" spans="1:17" s="52" customFormat="1" ht="12.75" x14ac:dyDescent="0.2">
      <c r="A164" s="51"/>
      <c r="B164" s="54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</row>
    <row r="165" spans="1:17" s="52" customFormat="1" ht="12.75" x14ac:dyDescent="0.2">
      <c r="A165" s="51"/>
      <c r="B165" s="54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</row>
    <row r="166" spans="1:17" s="52" customFormat="1" ht="12.75" x14ac:dyDescent="0.2">
      <c r="A166" s="51"/>
      <c r="B166" s="54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</row>
    <row r="167" spans="1:17" s="52" customFormat="1" ht="12.75" x14ac:dyDescent="0.2">
      <c r="A167" s="51"/>
      <c r="B167" s="54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</row>
    <row r="168" spans="1:17" s="52" customFormat="1" ht="12.75" x14ac:dyDescent="0.2">
      <c r="A168" s="51"/>
      <c r="B168" s="54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</row>
    <row r="169" spans="1:17" s="52" customFormat="1" ht="12.75" x14ac:dyDescent="0.2">
      <c r="A169" s="51"/>
      <c r="B169" s="54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</row>
    <row r="170" spans="1:17" s="52" customFormat="1" ht="12.75" x14ac:dyDescent="0.2">
      <c r="A170" s="51"/>
      <c r="B170" s="54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</row>
    <row r="171" spans="1:17" s="52" customFormat="1" ht="12.75" x14ac:dyDescent="0.2">
      <c r="A171" s="51"/>
      <c r="B171" s="54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</row>
    <row r="172" spans="1:17" s="52" customFormat="1" ht="12.75" x14ac:dyDescent="0.2">
      <c r="A172" s="51"/>
      <c r="B172" s="54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</row>
    <row r="173" spans="1:17" s="52" customFormat="1" ht="12.75" x14ac:dyDescent="0.2">
      <c r="A173" s="51"/>
      <c r="B173" s="54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</row>
    <row r="174" spans="1:17" s="52" customFormat="1" ht="12.75" x14ac:dyDescent="0.2">
      <c r="A174" s="51"/>
      <c r="B174" s="54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</row>
    <row r="175" spans="1:17" s="52" customFormat="1" ht="12.75" x14ac:dyDescent="0.2">
      <c r="A175" s="51"/>
      <c r="B175" s="54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</row>
    <row r="176" spans="1:17" s="52" customFormat="1" ht="12.75" x14ac:dyDescent="0.2">
      <c r="A176" s="51"/>
      <c r="B176" s="54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</row>
    <row r="177" spans="1:17" s="52" customFormat="1" ht="12.75" x14ac:dyDescent="0.2">
      <c r="A177" s="51"/>
      <c r="B177" s="54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</row>
    <row r="178" spans="1:17" s="52" customFormat="1" ht="12.75" x14ac:dyDescent="0.2">
      <c r="A178" s="51"/>
      <c r="B178" s="54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</row>
    <row r="179" spans="1:17" s="52" customFormat="1" ht="12.75" x14ac:dyDescent="0.2">
      <c r="A179" s="51"/>
      <c r="B179" s="54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</row>
    <row r="180" spans="1:17" s="52" customFormat="1" ht="12.75" x14ac:dyDescent="0.2">
      <c r="A180" s="51"/>
      <c r="B180" s="54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</row>
    <row r="181" spans="1:17" s="52" customFormat="1" ht="12.75" x14ac:dyDescent="0.2">
      <c r="A181" s="51"/>
      <c r="B181" s="54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</row>
    <row r="182" spans="1:17" s="52" customFormat="1" ht="12.75" x14ac:dyDescent="0.2">
      <c r="A182" s="51"/>
      <c r="B182" s="54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</row>
    <row r="183" spans="1:17" s="52" customFormat="1" ht="12.75" x14ac:dyDescent="0.2">
      <c r="A183" s="51"/>
      <c r="B183" s="54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</row>
    <row r="184" spans="1:17" s="52" customFormat="1" ht="12.75" x14ac:dyDescent="0.2">
      <c r="A184" s="51"/>
      <c r="B184" s="54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</row>
    <row r="185" spans="1:17" s="52" customFormat="1" ht="12.75" x14ac:dyDescent="0.2">
      <c r="A185" s="51"/>
      <c r="B185" s="54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</row>
    <row r="186" spans="1:17" s="52" customFormat="1" ht="12.75" x14ac:dyDescent="0.2">
      <c r="A186" s="51"/>
      <c r="B186" s="54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</row>
    <row r="187" spans="1:17" s="52" customFormat="1" ht="12.75" x14ac:dyDescent="0.2">
      <c r="A187" s="51"/>
      <c r="B187" s="54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</row>
    <row r="188" spans="1:17" s="52" customFormat="1" ht="12.75" x14ac:dyDescent="0.2">
      <c r="A188" s="51"/>
      <c r="B188" s="54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</row>
    <row r="189" spans="1:17" s="52" customFormat="1" ht="12.75" x14ac:dyDescent="0.2">
      <c r="A189" s="51"/>
      <c r="B189" s="54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</row>
    <row r="190" spans="1:17" s="52" customFormat="1" ht="12.75" x14ac:dyDescent="0.2">
      <c r="A190" s="51"/>
      <c r="B190" s="54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</row>
    <row r="191" spans="1:17" s="52" customFormat="1" ht="12.75" x14ac:dyDescent="0.2">
      <c r="A191" s="51"/>
      <c r="B191" s="54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</row>
    <row r="192" spans="1:17" s="52" customFormat="1" ht="12.75" x14ac:dyDescent="0.2">
      <c r="A192" s="51"/>
      <c r="B192" s="54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</row>
    <row r="193" spans="1:17" s="52" customFormat="1" ht="12.75" x14ac:dyDescent="0.2">
      <c r="A193" s="51"/>
      <c r="B193" s="54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</row>
    <row r="194" spans="1:17" s="52" customFormat="1" ht="12.75" x14ac:dyDescent="0.2">
      <c r="A194" s="51"/>
      <c r="B194" s="54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</row>
    <row r="195" spans="1:17" s="52" customFormat="1" ht="12.75" x14ac:dyDescent="0.2">
      <c r="A195" s="51"/>
      <c r="B195" s="54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</row>
    <row r="196" spans="1:17" s="52" customFormat="1" ht="12.75" x14ac:dyDescent="0.2">
      <c r="A196" s="51"/>
      <c r="B196" s="54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</row>
    <row r="197" spans="1:17" s="52" customFormat="1" ht="12.75" x14ac:dyDescent="0.2">
      <c r="A197" s="51"/>
      <c r="B197" s="54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</row>
    <row r="198" spans="1:17" s="52" customFormat="1" ht="12.75" x14ac:dyDescent="0.2">
      <c r="A198" s="51"/>
      <c r="B198" s="54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</row>
    <row r="199" spans="1:17" s="52" customFormat="1" ht="12.75" x14ac:dyDescent="0.2">
      <c r="A199" s="51"/>
      <c r="B199" s="54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</row>
    <row r="200" spans="1:17" s="52" customFormat="1" ht="12.75" x14ac:dyDescent="0.2">
      <c r="A200" s="51"/>
      <c r="B200" s="54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</row>
    <row r="201" spans="1:17" s="52" customFormat="1" ht="12.75" x14ac:dyDescent="0.2">
      <c r="A201" s="51"/>
      <c r="B201" s="54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</row>
    <row r="202" spans="1:17" s="52" customFormat="1" ht="12.75" x14ac:dyDescent="0.2">
      <c r="A202" s="51"/>
      <c r="B202" s="54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</row>
    <row r="203" spans="1:17" s="52" customFormat="1" ht="12.75" x14ac:dyDescent="0.2">
      <c r="A203" s="51"/>
      <c r="B203" s="54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</row>
    <row r="204" spans="1:17" s="52" customFormat="1" ht="12.75" x14ac:dyDescent="0.2">
      <c r="A204" s="51"/>
      <c r="B204" s="54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</row>
    <row r="205" spans="1:17" s="52" customFormat="1" ht="12.75" x14ac:dyDescent="0.2">
      <c r="A205" s="51"/>
      <c r="B205" s="54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</row>
    <row r="206" spans="1:17" s="52" customFormat="1" ht="12.75" x14ac:dyDescent="0.2">
      <c r="A206" s="51"/>
      <c r="B206" s="54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</row>
    <row r="207" spans="1:17" s="52" customFormat="1" ht="12.75" x14ac:dyDescent="0.2">
      <c r="A207" s="51"/>
      <c r="B207" s="54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</row>
    <row r="208" spans="1:17" s="52" customFormat="1" ht="12.75" x14ac:dyDescent="0.2">
      <c r="A208" s="51"/>
      <c r="B208" s="54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</row>
    <row r="209" spans="1:17" s="52" customFormat="1" ht="12.75" x14ac:dyDescent="0.2">
      <c r="A209" s="51"/>
      <c r="B209" s="54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</row>
    <row r="210" spans="1:17" s="52" customFormat="1" ht="12.75" x14ac:dyDescent="0.2">
      <c r="A210" s="51"/>
      <c r="B210" s="54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</row>
    <row r="211" spans="1:17" s="52" customFormat="1" ht="12.75" x14ac:dyDescent="0.2">
      <c r="A211" s="51"/>
      <c r="B211" s="54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</row>
    <row r="212" spans="1:17" s="52" customFormat="1" ht="12.75" x14ac:dyDescent="0.2">
      <c r="A212" s="51"/>
      <c r="B212" s="54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</row>
    <row r="213" spans="1:17" s="52" customFormat="1" ht="12.75" x14ac:dyDescent="0.2">
      <c r="A213" s="51"/>
      <c r="B213" s="54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</row>
    <row r="214" spans="1:17" s="52" customFormat="1" ht="12.75" x14ac:dyDescent="0.2">
      <c r="A214" s="51"/>
      <c r="B214" s="54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</row>
    <row r="215" spans="1:17" s="52" customFormat="1" ht="12.75" x14ac:dyDescent="0.2">
      <c r="A215" s="51"/>
      <c r="B215" s="54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</row>
    <row r="216" spans="1:17" s="52" customFormat="1" ht="12.75" x14ac:dyDescent="0.2">
      <c r="A216" s="51"/>
      <c r="B216" s="54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</row>
    <row r="217" spans="1:17" ht="12.75" x14ac:dyDescent="0.2">
      <c r="A217" s="51"/>
      <c r="B217" s="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2.75" x14ac:dyDescent="0.2">
      <c r="A218" s="51"/>
      <c r="B218" s="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2.75" x14ac:dyDescent="0.2">
      <c r="A219" s="51"/>
      <c r="B219" s="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2.75" x14ac:dyDescent="0.2">
      <c r="A220" s="51"/>
      <c r="B220" s="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2.75" x14ac:dyDescent="0.2">
      <c r="A221" s="51"/>
      <c r="B221" s="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2.75" x14ac:dyDescent="0.2">
      <c r="A222" s="51"/>
      <c r="B222" s="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2.75" x14ac:dyDescent="0.2">
      <c r="A223" s="51"/>
      <c r="B223" s="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2.75" x14ac:dyDescent="0.2">
      <c r="A224" s="51"/>
      <c r="B224" s="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2.75" x14ac:dyDescent="0.2">
      <c r="A225" s="51"/>
      <c r="B225" s="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2.75" x14ac:dyDescent="0.2">
      <c r="A226" s="51"/>
      <c r="B226" s="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2.75" x14ac:dyDescent="0.2">
      <c r="A227" s="51"/>
      <c r="B227" s="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2.75" x14ac:dyDescent="0.2">
      <c r="A228" s="51"/>
      <c r="B228" s="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2.75" x14ac:dyDescent="0.2">
      <c r="A229" s="51"/>
      <c r="B229" s="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2.75" x14ac:dyDescent="0.2">
      <c r="A230" s="51"/>
      <c r="B230" s="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2.75" x14ac:dyDescent="0.2">
      <c r="A231" s="51"/>
      <c r="B231" s="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2.75" x14ac:dyDescent="0.2">
      <c r="A232" s="51"/>
      <c r="B232" s="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2.75" x14ac:dyDescent="0.2">
      <c r="A233" s="51"/>
      <c r="B233" s="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2.75" x14ac:dyDescent="0.2">
      <c r="A234" s="51"/>
      <c r="B234" s="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2.75" x14ac:dyDescent="0.2">
      <c r="A235" s="51"/>
      <c r="B235" s="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2.75" x14ac:dyDescent="0.2">
      <c r="A236" s="51"/>
      <c r="B236" s="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2.75" x14ac:dyDescent="0.2">
      <c r="A237" s="51"/>
      <c r="B237" s="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2.75" x14ac:dyDescent="0.2">
      <c r="A238" s="51"/>
      <c r="B238" s="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2.75" x14ac:dyDescent="0.2">
      <c r="A239" s="51"/>
      <c r="B239" s="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2.75" x14ac:dyDescent="0.2">
      <c r="A240" s="51"/>
      <c r="B240" s="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2.75" x14ac:dyDescent="0.2">
      <c r="A241" s="51"/>
      <c r="B241" s="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2.75" x14ac:dyDescent="0.2">
      <c r="A242" s="51"/>
      <c r="B242" s="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2.75" x14ac:dyDescent="0.2">
      <c r="A243" s="51"/>
      <c r="B243" s="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2.75" x14ac:dyDescent="0.2">
      <c r="A244" s="51"/>
      <c r="B244" s="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2.75" x14ac:dyDescent="0.2">
      <c r="A245" s="51"/>
      <c r="B245" s="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2.75" x14ac:dyDescent="0.2">
      <c r="A246" s="51"/>
      <c r="B246" s="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2.75" x14ac:dyDescent="0.2">
      <c r="A247" s="51"/>
      <c r="B247" s="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2.75" x14ac:dyDescent="0.2">
      <c r="A248" s="51"/>
      <c r="B248" s="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2.75" x14ac:dyDescent="0.2">
      <c r="A249" s="51"/>
      <c r="B249" s="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2.75" x14ac:dyDescent="0.2">
      <c r="A250" s="51"/>
      <c r="B250" s="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2.75" x14ac:dyDescent="0.2">
      <c r="A251" s="51"/>
      <c r="B251" s="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2.75" x14ac:dyDescent="0.2">
      <c r="A252" s="51"/>
      <c r="B252" s="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2.75" x14ac:dyDescent="0.2">
      <c r="A253" s="51"/>
      <c r="B253" s="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2.75" x14ac:dyDescent="0.2">
      <c r="A254" s="51"/>
      <c r="B254" s="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2.75" x14ac:dyDescent="0.2">
      <c r="A255" s="51"/>
      <c r="B255" s="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2.75" x14ac:dyDescent="0.2">
      <c r="A256" s="51"/>
      <c r="B256" s="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2.75" x14ac:dyDescent="0.2">
      <c r="A257" s="51"/>
      <c r="B257" s="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2.75" x14ac:dyDescent="0.2">
      <c r="A258" s="51"/>
      <c r="B258" s="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2.75" x14ac:dyDescent="0.2">
      <c r="A259" s="51"/>
      <c r="B259" s="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2.75" x14ac:dyDescent="0.2">
      <c r="A260" s="51"/>
      <c r="B260" s="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2.75" x14ac:dyDescent="0.2">
      <c r="A261" s="51"/>
      <c r="B261" s="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2.75" x14ac:dyDescent="0.2">
      <c r="A262" s="51"/>
      <c r="B262" s="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2.75" x14ac:dyDescent="0.2">
      <c r="A263" s="51"/>
      <c r="B263" s="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2.75" x14ac:dyDescent="0.2">
      <c r="A264" s="51"/>
      <c r="B264" s="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2.75" x14ac:dyDescent="0.2">
      <c r="A265" s="51"/>
      <c r="B265" s="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2.75" x14ac:dyDescent="0.2">
      <c r="A266" s="51"/>
      <c r="B266" s="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2.75" x14ac:dyDescent="0.2">
      <c r="A267" s="51"/>
      <c r="B267" s="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2.75" x14ac:dyDescent="0.2">
      <c r="A268" s="51"/>
      <c r="B268" s="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2.75" x14ac:dyDescent="0.2">
      <c r="A269" s="51"/>
      <c r="B269" s="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2.75" x14ac:dyDescent="0.2">
      <c r="A270" s="51"/>
      <c r="B270" s="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2.75" x14ac:dyDescent="0.2">
      <c r="A271" s="51"/>
      <c r="B271" s="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2.75" x14ac:dyDescent="0.2">
      <c r="A272" s="51"/>
      <c r="B272" s="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2.75" x14ac:dyDescent="0.2">
      <c r="A273" s="51"/>
      <c r="B273" s="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2.75" x14ac:dyDescent="0.2">
      <c r="A274" s="51"/>
      <c r="B274" s="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2.75" x14ac:dyDescent="0.2">
      <c r="A275" s="51"/>
      <c r="B275" s="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2.75" x14ac:dyDescent="0.2">
      <c r="A276" s="51"/>
      <c r="B276" s="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2.75" x14ac:dyDescent="0.2">
      <c r="A277" s="51"/>
      <c r="B277" s="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2.75" x14ac:dyDescent="0.2">
      <c r="A278" s="51"/>
      <c r="B278" s="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2.75" x14ac:dyDescent="0.2">
      <c r="A279" s="51"/>
      <c r="B279" s="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2.75" x14ac:dyDescent="0.2">
      <c r="A280" s="51"/>
      <c r="B280" s="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2.75" x14ac:dyDescent="0.2">
      <c r="A281" s="51"/>
      <c r="B281" s="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2.75" x14ac:dyDescent="0.2">
      <c r="A282" s="51"/>
      <c r="B282" s="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2.75" x14ac:dyDescent="0.2">
      <c r="A283" s="51"/>
      <c r="B283" s="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2.75" x14ac:dyDescent="0.2">
      <c r="A284" s="51"/>
      <c r="B284" s="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2.75" x14ac:dyDescent="0.2">
      <c r="A285" s="51"/>
      <c r="B285" s="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2.75" x14ac:dyDescent="0.2">
      <c r="A286" s="51"/>
      <c r="B286" s="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2.75" x14ac:dyDescent="0.2">
      <c r="A287" s="51"/>
      <c r="B287" s="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2.75" x14ac:dyDescent="0.2">
      <c r="A288" s="51"/>
      <c r="B288" s="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2.75" x14ac:dyDescent="0.2">
      <c r="A289" s="51"/>
      <c r="B289" s="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2.75" x14ac:dyDescent="0.2">
      <c r="A290" s="51"/>
      <c r="B290" s="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2.75" x14ac:dyDescent="0.2">
      <c r="A291" s="51"/>
      <c r="B291" s="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2.75" x14ac:dyDescent="0.2">
      <c r="A292" s="51"/>
      <c r="B292" s="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2.75" x14ac:dyDescent="0.2">
      <c r="A293" s="51"/>
      <c r="B293" s="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2.75" x14ac:dyDescent="0.2">
      <c r="A294" s="51"/>
      <c r="B294" s="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2.75" x14ac:dyDescent="0.2">
      <c r="A295" s="51"/>
      <c r="B295" s="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2.75" x14ac:dyDescent="0.2">
      <c r="A296" s="51"/>
      <c r="B296" s="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2.75" x14ac:dyDescent="0.2">
      <c r="A297" s="51"/>
      <c r="B297" s="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2.75" x14ac:dyDescent="0.2">
      <c r="A298" s="51"/>
      <c r="B298" s="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2.75" x14ac:dyDescent="0.2">
      <c r="A299" s="51"/>
      <c r="B299" s="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2.75" x14ac:dyDescent="0.2">
      <c r="A300" s="51"/>
      <c r="B300" s="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2.75" x14ac:dyDescent="0.2">
      <c r="A301" s="51"/>
      <c r="B301" s="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2.75" x14ac:dyDescent="0.2">
      <c r="A302" s="51"/>
      <c r="B302" s="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2.75" x14ac:dyDescent="0.2">
      <c r="A303" s="51"/>
      <c r="B303" s="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2.75" x14ac:dyDescent="0.2">
      <c r="A304" s="51"/>
      <c r="B304" s="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2.75" x14ac:dyDescent="0.2">
      <c r="A305" s="51"/>
      <c r="B305" s="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2.75" x14ac:dyDescent="0.2">
      <c r="A306" s="51"/>
      <c r="B306" s="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2.75" x14ac:dyDescent="0.2">
      <c r="A307" s="51"/>
      <c r="B307" s="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2.75" x14ac:dyDescent="0.2">
      <c r="A308" s="51"/>
      <c r="B308" s="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2.75" x14ac:dyDescent="0.2">
      <c r="A309" s="51"/>
      <c r="B309" s="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2.75" x14ac:dyDescent="0.2">
      <c r="A310" s="51"/>
      <c r="B310" s="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2.75" x14ac:dyDescent="0.2">
      <c r="A311" s="51"/>
      <c r="B311" s="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2.75" x14ac:dyDescent="0.2">
      <c r="A312" s="51"/>
      <c r="B312" s="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2.75" x14ac:dyDescent="0.2">
      <c r="A313" s="51"/>
      <c r="B313" s="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2.75" x14ac:dyDescent="0.2">
      <c r="A314" s="51"/>
      <c r="B314" s="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2.75" x14ac:dyDescent="0.2">
      <c r="A315" s="51"/>
      <c r="B315" s="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2.75" x14ac:dyDescent="0.2">
      <c r="A316" s="51"/>
      <c r="B316" s="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2.75" x14ac:dyDescent="0.2">
      <c r="A317" s="51"/>
      <c r="B317" s="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2.75" x14ac:dyDescent="0.2">
      <c r="A318" s="51"/>
      <c r="B318" s="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2.75" x14ac:dyDescent="0.2">
      <c r="A319" s="51"/>
      <c r="B319" s="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2.75" x14ac:dyDescent="0.2">
      <c r="A320" s="51"/>
      <c r="B320" s="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2.75" x14ac:dyDescent="0.2">
      <c r="A321" s="51"/>
      <c r="B321" s="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2.75" x14ac:dyDescent="0.2">
      <c r="A322" s="51"/>
      <c r="B322" s="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2.75" x14ac:dyDescent="0.2">
      <c r="A323" s="51"/>
      <c r="B323" s="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2.75" x14ac:dyDescent="0.2">
      <c r="A324" s="51"/>
      <c r="B324" s="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2.75" x14ac:dyDescent="0.2">
      <c r="A325" s="51"/>
      <c r="B325" s="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2.75" x14ac:dyDescent="0.2">
      <c r="A326" s="51"/>
      <c r="B326" s="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2.75" x14ac:dyDescent="0.2">
      <c r="A327" s="51"/>
      <c r="B327" s="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2.75" x14ac:dyDescent="0.2">
      <c r="A328" s="51"/>
      <c r="B328" s="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2.75" x14ac:dyDescent="0.2">
      <c r="A329" s="51"/>
      <c r="B329" s="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2.75" x14ac:dyDescent="0.2">
      <c r="A330" s="51"/>
      <c r="B330" s="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2.75" x14ac:dyDescent="0.2">
      <c r="A331" s="51"/>
      <c r="B331" s="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2.75" x14ac:dyDescent="0.2">
      <c r="A332" s="51"/>
      <c r="B332" s="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2.75" x14ac:dyDescent="0.2">
      <c r="A333" s="51"/>
      <c r="B333" s="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2.75" x14ac:dyDescent="0.2">
      <c r="A334" s="51"/>
      <c r="B334" s="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2.75" x14ac:dyDescent="0.2">
      <c r="A335" s="51"/>
      <c r="B335" s="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2.75" x14ac:dyDescent="0.2">
      <c r="A336" s="51"/>
      <c r="B336" s="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2.75" x14ac:dyDescent="0.2">
      <c r="A337" s="51"/>
      <c r="B337" s="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2.75" x14ac:dyDescent="0.2">
      <c r="A338" s="51"/>
      <c r="B338" s="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2.75" x14ac:dyDescent="0.2">
      <c r="A339" s="51"/>
      <c r="B339" s="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2.75" x14ac:dyDescent="0.2">
      <c r="A340" s="51"/>
      <c r="B340" s="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2.75" x14ac:dyDescent="0.2">
      <c r="A341" s="51"/>
      <c r="B341" s="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2.75" x14ac:dyDescent="0.2">
      <c r="A342" s="51"/>
      <c r="B342" s="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2.75" x14ac:dyDescent="0.2">
      <c r="A343" s="51"/>
      <c r="B343" s="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2.75" x14ac:dyDescent="0.2">
      <c r="A344" s="51"/>
      <c r="B344" s="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2.75" x14ac:dyDescent="0.2">
      <c r="A345" s="51"/>
      <c r="B345" s="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2.75" x14ac:dyDescent="0.2">
      <c r="A346" s="51"/>
      <c r="B346" s="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2.75" x14ac:dyDescent="0.2">
      <c r="A347" s="51"/>
      <c r="B347" s="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2.75" x14ac:dyDescent="0.2">
      <c r="A348" s="51"/>
      <c r="B348" s="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2.75" x14ac:dyDescent="0.2">
      <c r="A349" s="51"/>
      <c r="B349" s="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2.75" x14ac:dyDescent="0.2">
      <c r="A350" s="51"/>
      <c r="B350" s="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2.75" x14ac:dyDescent="0.2">
      <c r="A351" s="51"/>
      <c r="B351" s="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2.75" x14ac:dyDescent="0.2">
      <c r="A352" s="51"/>
      <c r="B352" s="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2.75" x14ac:dyDescent="0.2">
      <c r="A353" s="51"/>
      <c r="B353" s="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2.75" x14ac:dyDescent="0.2">
      <c r="A354" s="51"/>
      <c r="B354" s="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2.75" x14ac:dyDescent="0.2">
      <c r="A355" s="51"/>
      <c r="B355" s="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2.75" x14ac:dyDescent="0.2">
      <c r="A356" s="51"/>
      <c r="B356" s="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2.75" x14ac:dyDescent="0.2">
      <c r="A357" s="51"/>
      <c r="B357" s="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2.75" x14ac:dyDescent="0.2">
      <c r="A358" s="51"/>
      <c r="B358" s="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2.75" x14ac:dyDescent="0.2">
      <c r="A359" s="51"/>
      <c r="B359" s="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2.75" x14ac:dyDescent="0.2">
      <c r="A360" s="51"/>
      <c r="B360" s="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2.75" x14ac:dyDescent="0.2">
      <c r="A361" s="51"/>
      <c r="B361" s="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2.75" x14ac:dyDescent="0.2">
      <c r="A362" s="51"/>
      <c r="B362" s="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2.75" x14ac:dyDescent="0.2">
      <c r="A363" s="51"/>
      <c r="B363" s="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2.75" x14ac:dyDescent="0.2">
      <c r="A364" s="51"/>
      <c r="B364" s="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2.75" x14ac:dyDescent="0.2">
      <c r="A365" s="51"/>
      <c r="B365" s="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2.75" x14ac:dyDescent="0.2">
      <c r="A366" s="51"/>
      <c r="B366" s="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2.75" x14ac:dyDescent="0.2">
      <c r="A367" s="51"/>
      <c r="B367" s="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2.75" x14ac:dyDescent="0.2">
      <c r="A368" s="51"/>
      <c r="B368" s="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2.75" x14ac:dyDescent="0.2">
      <c r="A369" s="51"/>
      <c r="B369" s="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2.75" x14ac:dyDescent="0.2">
      <c r="A370" s="51"/>
      <c r="B370" s="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2.75" x14ac:dyDescent="0.2">
      <c r="A371" s="51"/>
      <c r="B371" s="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2.75" x14ac:dyDescent="0.2">
      <c r="A372" s="51"/>
      <c r="B372" s="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2.75" x14ac:dyDescent="0.2">
      <c r="A373" s="51"/>
      <c r="B373" s="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2.75" x14ac:dyDescent="0.2">
      <c r="A374" s="51"/>
      <c r="B374" s="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2.75" x14ac:dyDescent="0.2">
      <c r="A375" s="51"/>
      <c r="B375" s="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2.75" x14ac:dyDescent="0.2">
      <c r="A376" s="51"/>
      <c r="B376" s="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2.75" x14ac:dyDescent="0.2">
      <c r="A377" s="51"/>
      <c r="B377" s="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2.75" x14ac:dyDescent="0.2">
      <c r="A378" s="51"/>
      <c r="B378" s="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2.75" x14ac:dyDescent="0.2">
      <c r="A379" s="51"/>
      <c r="B379" s="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2.75" x14ac:dyDescent="0.2">
      <c r="A380" s="51"/>
      <c r="B380" s="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2.75" x14ac:dyDescent="0.2">
      <c r="A381" s="51"/>
      <c r="B381" s="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2.75" x14ac:dyDescent="0.2">
      <c r="A382" s="51"/>
      <c r="B382" s="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2.75" x14ac:dyDescent="0.2">
      <c r="A383" s="51"/>
      <c r="B383" s="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2.75" x14ac:dyDescent="0.2">
      <c r="A384" s="51"/>
      <c r="B384" s="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2.75" x14ac:dyDescent="0.2">
      <c r="A385" s="51"/>
      <c r="B385" s="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2.75" x14ac:dyDescent="0.2">
      <c r="A386" s="51"/>
      <c r="B386" s="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2.75" x14ac:dyDescent="0.2">
      <c r="A387" s="51"/>
      <c r="B387" s="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2.75" x14ac:dyDescent="0.2">
      <c r="A388" s="51"/>
      <c r="B388" s="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2.75" x14ac:dyDescent="0.2">
      <c r="A389" s="51"/>
      <c r="B389" s="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2.75" x14ac:dyDescent="0.2">
      <c r="A390" s="51"/>
      <c r="B390" s="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2.75" x14ac:dyDescent="0.2">
      <c r="A391" s="51"/>
      <c r="B391" s="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2.75" x14ac:dyDescent="0.2">
      <c r="A392" s="51"/>
      <c r="B392" s="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2.75" x14ac:dyDescent="0.2">
      <c r="A393" s="51"/>
      <c r="B393" s="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2.75" x14ac:dyDescent="0.2">
      <c r="A394" s="51"/>
      <c r="B394" s="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2.75" x14ac:dyDescent="0.2">
      <c r="A395" s="51"/>
      <c r="B395" s="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2.75" x14ac:dyDescent="0.2">
      <c r="A396" s="51"/>
      <c r="B396" s="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2.75" x14ac:dyDescent="0.2">
      <c r="A397" s="51"/>
      <c r="B397" s="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2.75" x14ac:dyDescent="0.2">
      <c r="A398" s="51"/>
      <c r="B398" s="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2.75" x14ac:dyDescent="0.2">
      <c r="A399" s="51"/>
      <c r="B399" s="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2.75" x14ac:dyDescent="0.2">
      <c r="A400" s="51"/>
      <c r="B400" s="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2.75" x14ac:dyDescent="0.2">
      <c r="A401" s="51"/>
      <c r="B401" s="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2.75" x14ac:dyDescent="0.2">
      <c r="A402" s="51"/>
      <c r="B402" s="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2.75" x14ac:dyDescent="0.2">
      <c r="A403" s="51"/>
      <c r="B403" s="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2.75" x14ac:dyDescent="0.2">
      <c r="A404" s="51"/>
      <c r="B404" s="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2.75" x14ac:dyDescent="0.2">
      <c r="A405" s="51"/>
      <c r="B405" s="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2.75" x14ac:dyDescent="0.2">
      <c r="A406" s="51"/>
      <c r="B406" s="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2.75" x14ac:dyDescent="0.2">
      <c r="A407" s="51"/>
      <c r="B407" s="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2.75" x14ac:dyDescent="0.2">
      <c r="A408" s="51"/>
      <c r="B408" s="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2.75" x14ac:dyDescent="0.2">
      <c r="A409" s="51"/>
      <c r="B409" s="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2.75" x14ac:dyDescent="0.2">
      <c r="A410" s="51"/>
      <c r="B410" s="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2.75" x14ac:dyDescent="0.2">
      <c r="A411" s="51"/>
      <c r="B411" s="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2.75" x14ac:dyDescent="0.2">
      <c r="A412" s="51"/>
      <c r="B412" s="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2.75" x14ac:dyDescent="0.2">
      <c r="A413" s="51"/>
      <c r="B413" s="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2.75" x14ac:dyDescent="0.2">
      <c r="A414" s="51"/>
      <c r="B414" s="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2.75" x14ac:dyDescent="0.2">
      <c r="A415" s="51"/>
      <c r="B415" s="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2.75" x14ac:dyDescent="0.2">
      <c r="A416" s="51"/>
      <c r="B416" s="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2.75" x14ac:dyDescent="0.2">
      <c r="A417" s="51"/>
      <c r="B417" s="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2.75" x14ac:dyDescent="0.2">
      <c r="A418" s="51"/>
      <c r="B418" s="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2.75" x14ac:dyDescent="0.2">
      <c r="A419" s="51"/>
      <c r="B419" s="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2.75" x14ac:dyDescent="0.2">
      <c r="A420" s="51"/>
      <c r="B420" s="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2.75" x14ac:dyDescent="0.2">
      <c r="A421" s="51"/>
      <c r="B421" s="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2.75" x14ac:dyDescent="0.2">
      <c r="A422" s="51"/>
      <c r="B422" s="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2.75" x14ac:dyDescent="0.2">
      <c r="A423" s="51"/>
      <c r="B423" s="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2.75" x14ac:dyDescent="0.2">
      <c r="A424" s="51"/>
      <c r="B424" s="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2.75" x14ac:dyDescent="0.2">
      <c r="A425" s="51"/>
      <c r="B425" s="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2.75" x14ac:dyDescent="0.2">
      <c r="A426" s="51"/>
      <c r="B426" s="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2.75" x14ac:dyDescent="0.2">
      <c r="A427" s="51"/>
      <c r="B427" s="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2.75" x14ac:dyDescent="0.2">
      <c r="A428" s="51"/>
      <c r="B428" s="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2.75" x14ac:dyDescent="0.2">
      <c r="A429" s="51"/>
      <c r="B429" s="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2.75" x14ac:dyDescent="0.2">
      <c r="A430" s="51"/>
      <c r="B430" s="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2.75" x14ac:dyDescent="0.2">
      <c r="A431" s="51"/>
      <c r="B431" s="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2.75" x14ac:dyDescent="0.2">
      <c r="A432" s="51"/>
      <c r="B432" s="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2.75" x14ac:dyDescent="0.2">
      <c r="A433" s="51"/>
      <c r="B433" s="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2.75" x14ac:dyDescent="0.2">
      <c r="A434" s="51"/>
      <c r="B434" s="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2.75" x14ac:dyDescent="0.2">
      <c r="A435" s="51"/>
      <c r="B435" s="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2.75" x14ac:dyDescent="0.2">
      <c r="A436" s="51"/>
      <c r="B436" s="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2.75" x14ac:dyDescent="0.2">
      <c r="A437" s="51"/>
      <c r="B437" s="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2.75" x14ac:dyDescent="0.2">
      <c r="A438" s="51"/>
      <c r="B438" s="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2.75" x14ac:dyDescent="0.2">
      <c r="A439" s="51"/>
      <c r="B439" s="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2.75" x14ac:dyDescent="0.2">
      <c r="A440" s="51"/>
      <c r="B440" s="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2.75" x14ac:dyDescent="0.2">
      <c r="A441" s="51"/>
      <c r="B441" s="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2.75" x14ac:dyDescent="0.2">
      <c r="A442" s="51"/>
      <c r="B442" s="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2.75" x14ac:dyDescent="0.2">
      <c r="A443" s="51"/>
      <c r="B443" s="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2.75" x14ac:dyDescent="0.2">
      <c r="A444" s="51"/>
      <c r="B444" s="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2.75" x14ac:dyDescent="0.2">
      <c r="A445" s="51"/>
      <c r="B445" s="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2.75" x14ac:dyDescent="0.2">
      <c r="A446" s="51"/>
      <c r="B446" s="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2.75" x14ac:dyDescent="0.2">
      <c r="A447" s="51"/>
      <c r="B447" s="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2.75" x14ac:dyDescent="0.2">
      <c r="A448" s="51"/>
      <c r="B448" s="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2.75" x14ac:dyDescent="0.2">
      <c r="A449" s="51"/>
      <c r="B449" s="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2.75" x14ac:dyDescent="0.2">
      <c r="A450" s="51"/>
      <c r="B450" s="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2.75" x14ac:dyDescent="0.2">
      <c r="A451" s="51"/>
      <c r="B451" s="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2.75" x14ac:dyDescent="0.2">
      <c r="A452" s="51"/>
      <c r="B452" s="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2.75" x14ac:dyDescent="0.2">
      <c r="A453" s="51"/>
      <c r="B453" s="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2.75" x14ac:dyDescent="0.2">
      <c r="A454" s="51"/>
      <c r="B454" s="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2.75" x14ac:dyDescent="0.2">
      <c r="A455" s="51"/>
      <c r="B455" s="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2.75" x14ac:dyDescent="0.2">
      <c r="A456" s="51"/>
      <c r="B456" s="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2.75" x14ac:dyDescent="0.2">
      <c r="A457" s="51"/>
      <c r="B457" s="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2.75" x14ac:dyDescent="0.2">
      <c r="A458" s="51"/>
      <c r="B458" s="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2.75" x14ac:dyDescent="0.2">
      <c r="A459" s="51"/>
      <c r="B459" s="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2.75" x14ac:dyDescent="0.2">
      <c r="A460" s="51"/>
      <c r="B460" s="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2.75" x14ac:dyDescent="0.2">
      <c r="A461" s="51"/>
      <c r="B461" s="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2.75" x14ac:dyDescent="0.2">
      <c r="A462" s="51"/>
      <c r="B462" s="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2.75" x14ac:dyDescent="0.2">
      <c r="A463" s="51"/>
      <c r="B463" s="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2.75" x14ac:dyDescent="0.2">
      <c r="A464" s="51"/>
      <c r="B464" s="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2.75" x14ac:dyDescent="0.2">
      <c r="A465" s="51"/>
      <c r="B465" s="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2.75" x14ac:dyDescent="0.2">
      <c r="A466" s="51"/>
      <c r="B466" s="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2.75" x14ac:dyDescent="0.2">
      <c r="A467" s="51"/>
      <c r="B467" s="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2.75" x14ac:dyDescent="0.2">
      <c r="A468" s="51"/>
      <c r="B468" s="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2.75" x14ac:dyDescent="0.2">
      <c r="A469" s="51"/>
      <c r="B469" s="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2.75" x14ac:dyDescent="0.2">
      <c r="A470" s="51"/>
      <c r="B470" s="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2.75" x14ac:dyDescent="0.2">
      <c r="A471" s="51"/>
      <c r="B471" s="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2.75" x14ac:dyDescent="0.2">
      <c r="A472" s="51"/>
      <c r="B472" s="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2.75" x14ac:dyDescent="0.2">
      <c r="A473" s="51"/>
      <c r="B473" s="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2.75" x14ac:dyDescent="0.2">
      <c r="A474" s="51"/>
      <c r="B474" s="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2.75" x14ac:dyDescent="0.2">
      <c r="A475" s="51"/>
      <c r="B475" s="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2.75" x14ac:dyDescent="0.2">
      <c r="A476" s="51"/>
      <c r="B476" s="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2.75" x14ac:dyDescent="0.2">
      <c r="A477" s="51"/>
      <c r="B477" s="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2.75" x14ac:dyDescent="0.2">
      <c r="A478" s="51"/>
      <c r="B478" s="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2.75" x14ac:dyDescent="0.2">
      <c r="A479" s="51"/>
      <c r="B479" s="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2.75" x14ac:dyDescent="0.2">
      <c r="A480" s="51"/>
      <c r="B480" s="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2.75" x14ac:dyDescent="0.2">
      <c r="A481" s="51"/>
      <c r="B481" s="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2.75" x14ac:dyDescent="0.2">
      <c r="A482" s="51"/>
      <c r="B482" s="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2.75" x14ac:dyDescent="0.2">
      <c r="A483" s="51"/>
      <c r="B483" s="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2.75" x14ac:dyDescent="0.2">
      <c r="A484" s="51"/>
      <c r="B484" s="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2.75" x14ac:dyDescent="0.2">
      <c r="A485" s="51"/>
      <c r="B485" s="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2.75" x14ac:dyDescent="0.2">
      <c r="A486" s="51"/>
      <c r="B486" s="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2.75" x14ac:dyDescent="0.2">
      <c r="A487" s="51"/>
      <c r="B487" s="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2.75" x14ac:dyDescent="0.2">
      <c r="A488" s="51"/>
      <c r="B488" s="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2.75" x14ac:dyDescent="0.2">
      <c r="A489" s="51"/>
      <c r="B489" s="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2.75" x14ac:dyDescent="0.2">
      <c r="A490" s="51"/>
      <c r="B490" s="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2.75" x14ac:dyDescent="0.2">
      <c r="A491" s="51"/>
      <c r="B491" s="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2.75" x14ac:dyDescent="0.2">
      <c r="A492" s="51"/>
      <c r="B492" s="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2.75" x14ac:dyDescent="0.2">
      <c r="A493" s="51"/>
      <c r="B493" s="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2.75" x14ac:dyDescent="0.2">
      <c r="A494" s="51"/>
      <c r="B494" s="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2.75" x14ac:dyDescent="0.2">
      <c r="A495" s="51"/>
      <c r="B495" s="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2.75" x14ac:dyDescent="0.2">
      <c r="A496" s="51"/>
      <c r="B496" s="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2.75" x14ac:dyDescent="0.2">
      <c r="A497" s="51"/>
      <c r="B497" s="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2.75" x14ac:dyDescent="0.2">
      <c r="A498" s="51"/>
      <c r="B498" s="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2.75" x14ac:dyDescent="0.2">
      <c r="A499" s="51"/>
      <c r="B499" s="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2.75" x14ac:dyDescent="0.2">
      <c r="A500" s="51"/>
      <c r="B500" s="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2.75" x14ac:dyDescent="0.2">
      <c r="A501" s="51"/>
      <c r="B501" s="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2.75" x14ac:dyDescent="0.2">
      <c r="A502" s="51"/>
      <c r="B502" s="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2.75" x14ac:dyDescent="0.2">
      <c r="A503" s="51"/>
      <c r="B503" s="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2.75" x14ac:dyDescent="0.2">
      <c r="A504" s="51"/>
      <c r="B504" s="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2.75" x14ac:dyDescent="0.2">
      <c r="A505" s="51"/>
      <c r="B505" s="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2.75" x14ac:dyDescent="0.2">
      <c r="A506" s="51"/>
      <c r="B506" s="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2.75" x14ac:dyDescent="0.2">
      <c r="A507" s="51"/>
      <c r="B507" s="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2.75" x14ac:dyDescent="0.2">
      <c r="A508" s="51"/>
      <c r="B508" s="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2.75" x14ac:dyDescent="0.2">
      <c r="A509" s="51"/>
      <c r="B509" s="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2.75" x14ac:dyDescent="0.2">
      <c r="A510" s="51"/>
      <c r="B510" s="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2.75" x14ac:dyDescent="0.2">
      <c r="A511" s="51"/>
      <c r="B511" s="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2.75" x14ac:dyDescent="0.2">
      <c r="A512" s="51"/>
      <c r="B512" s="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2.75" x14ac:dyDescent="0.2">
      <c r="A513" s="51"/>
      <c r="B513" s="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2.75" x14ac:dyDescent="0.2">
      <c r="A514" s="51"/>
      <c r="B514" s="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2.75" x14ac:dyDescent="0.2">
      <c r="A515" s="51"/>
      <c r="B515" s="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2.75" x14ac:dyDescent="0.2">
      <c r="A516" s="51"/>
      <c r="B516" s="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2.75" x14ac:dyDescent="0.2">
      <c r="A517" s="51"/>
      <c r="B517" s="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2.75" x14ac:dyDescent="0.2">
      <c r="A518" s="51"/>
      <c r="B518" s="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2.75" x14ac:dyDescent="0.2">
      <c r="A519" s="51"/>
      <c r="B519" s="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2.75" x14ac:dyDescent="0.2">
      <c r="A520" s="51"/>
      <c r="B520" s="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2.75" x14ac:dyDescent="0.2">
      <c r="A521" s="51"/>
      <c r="B521" s="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2.75" x14ac:dyDescent="0.2">
      <c r="A522" s="51"/>
      <c r="B522" s="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2.75" x14ac:dyDescent="0.2">
      <c r="A523" s="51"/>
      <c r="B523" s="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2.75" x14ac:dyDescent="0.2">
      <c r="A524" s="51"/>
      <c r="B524" s="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2.75" x14ac:dyDescent="0.2">
      <c r="A525" s="51"/>
      <c r="B525" s="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2.75" x14ac:dyDescent="0.2">
      <c r="A526" s="51"/>
      <c r="B526" s="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2.75" x14ac:dyDescent="0.2">
      <c r="A527" s="51"/>
      <c r="B527" s="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2.75" x14ac:dyDescent="0.2">
      <c r="A528" s="51"/>
      <c r="B528" s="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2.75" x14ac:dyDescent="0.2">
      <c r="A529" s="51"/>
      <c r="B529" s="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2.75" x14ac:dyDescent="0.2">
      <c r="A530" s="51"/>
      <c r="B530" s="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2.75" x14ac:dyDescent="0.2">
      <c r="A531" s="51"/>
      <c r="B531" s="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2.75" x14ac:dyDescent="0.2">
      <c r="A532" s="51"/>
      <c r="B532" s="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2.75" x14ac:dyDescent="0.2">
      <c r="A533" s="51"/>
      <c r="B533" s="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2.75" x14ac:dyDescent="0.2">
      <c r="A534" s="51"/>
      <c r="B534" s="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2.75" x14ac:dyDescent="0.2">
      <c r="A535" s="51"/>
      <c r="B535" s="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2.75" x14ac:dyDescent="0.2">
      <c r="A536" s="51"/>
      <c r="B536" s="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2.75" x14ac:dyDescent="0.2">
      <c r="A537" s="51"/>
      <c r="B537" s="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2.75" x14ac:dyDescent="0.2">
      <c r="A538" s="51"/>
      <c r="B538" s="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2.75" x14ac:dyDescent="0.2">
      <c r="A539" s="51"/>
      <c r="B539" s="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2.75" x14ac:dyDescent="0.2">
      <c r="A540" s="51"/>
      <c r="B540" s="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2.75" x14ac:dyDescent="0.2">
      <c r="A541" s="51"/>
      <c r="B541" s="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2.75" x14ac:dyDescent="0.2">
      <c r="A542" s="51"/>
      <c r="B542" s="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2.75" x14ac:dyDescent="0.2">
      <c r="A543" s="51"/>
      <c r="B543" s="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2.75" x14ac:dyDescent="0.2">
      <c r="A544" s="51"/>
      <c r="B544" s="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2.75" x14ac:dyDescent="0.2">
      <c r="A545" s="51"/>
      <c r="B545" s="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2.75" x14ac:dyDescent="0.2">
      <c r="A546" s="51"/>
      <c r="B546" s="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2.75" x14ac:dyDescent="0.2">
      <c r="A547" s="51"/>
      <c r="B547" s="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2.75" x14ac:dyDescent="0.2">
      <c r="A548" s="51"/>
      <c r="B548" s="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2.75" x14ac:dyDescent="0.2">
      <c r="A549" s="51"/>
      <c r="B549" s="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2.75" x14ac:dyDescent="0.2">
      <c r="A550" s="51"/>
      <c r="B550" s="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2.75" x14ac:dyDescent="0.2">
      <c r="A551" s="51"/>
      <c r="B551" s="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2.75" x14ac:dyDescent="0.2">
      <c r="A552" s="51"/>
      <c r="B552" s="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2.75" x14ac:dyDescent="0.2">
      <c r="A553" s="51"/>
      <c r="B553" s="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2.75" x14ac:dyDescent="0.2">
      <c r="A554" s="51"/>
      <c r="B554" s="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2.75" x14ac:dyDescent="0.2">
      <c r="A555" s="51"/>
      <c r="B555" s="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2.75" x14ac:dyDescent="0.2">
      <c r="A556" s="51"/>
      <c r="B556" s="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2.75" x14ac:dyDescent="0.2">
      <c r="A557" s="51"/>
      <c r="B557" s="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2.75" x14ac:dyDescent="0.2">
      <c r="A558" s="51"/>
      <c r="B558" s="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2.75" x14ac:dyDescent="0.2">
      <c r="A559" s="51"/>
      <c r="B559" s="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2.75" x14ac:dyDescent="0.2">
      <c r="A560" s="51"/>
      <c r="B560" s="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2.75" x14ac:dyDescent="0.2">
      <c r="A561" s="51"/>
      <c r="B561" s="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2.75" x14ac:dyDescent="0.2">
      <c r="A562" s="51"/>
      <c r="B562" s="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2.75" x14ac:dyDescent="0.2">
      <c r="A563" s="51"/>
      <c r="B563" s="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2.75" x14ac:dyDescent="0.2">
      <c r="A564" s="51"/>
      <c r="B564" s="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2.75" x14ac:dyDescent="0.2">
      <c r="A565" s="51"/>
      <c r="B565" s="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2.75" x14ac:dyDescent="0.2">
      <c r="A566" s="51"/>
      <c r="B566" s="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2.75" x14ac:dyDescent="0.2">
      <c r="A567" s="51"/>
      <c r="B567" s="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2.75" x14ac:dyDescent="0.2">
      <c r="A568" s="51"/>
      <c r="B568" s="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2.75" x14ac:dyDescent="0.2">
      <c r="A569" s="51"/>
      <c r="B569" s="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2.75" x14ac:dyDescent="0.2">
      <c r="A570" s="51"/>
      <c r="B570" s="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2.75" x14ac:dyDescent="0.2">
      <c r="A571" s="51"/>
      <c r="B571" s="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2.75" x14ac:dyDescent="0.2">
      <c r="A572" s="51"/>
      <c r="B572" s="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2.75" x14ac:dyDescent="0.2">
      <c r="A573" s="51"/>
      <c r="B573" s="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2.75" x14ac:dyDescent="0.2">
      <c r="A574" s="51"/>
      <c r="B574" s="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2.75" x14ac:dyDescent="0.2">
      <c r="A575" s="51"/>
      <c r="B575" s="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2.75" x14ac:dyDescent="0.2">
      <c r="A576" s="51"/>
      <c r="B576" s="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2.75" x14ac:dyDescent="0.2">
      <c r="A577" s="51"/>
      <c r="B577" s="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2.75" x14ac:dyDescent="0.2">
      <c r="A578" s="51"/>
      <c r="B578" s="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2.75" x14ac:dyDescent="0.2">
      <c r="A579" s="51"/>
      <c r="B579" s="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2.75" x14ac:dyDescent="0.2">
      <c r="A580" s="51"/>
      <c r="B580" s="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2.75" x14ac:dyDescent="0.2">
      <c r="A581" s="51"/>
      <c r="B581" s="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2.75" x14ac:dyDescent="0.2">
      <c r="A582" s="51"/>
      <c r="B582" s="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2.75" x14ac:dyDescent="0.2">
      <c r="A583" s="51"/>
      <c r="B583" s="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2.75" x14ac:dyDescent="0.2">
      <c r="A584" s="51"/>
      <c r="B584" s="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2.75" x14ac:dyDescent="0.2">
      <c r="A585" s="51"/>
      <c r="B585" s="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2.75" x14ac:dyDescent="0.2">
      <c r="A586" s="51"/>
      <c r="B586" s="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2.75" x14ac:dyDescent="0.2">
      <c r="A587" s="51"/>
      <c r="B587" s="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2.75" x14ac:dyDescent="0.2">
      <c r="A588" s="51"/>
      <c r="B588" s="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2.75" x14ac:dyDescent="0.2">
      <c r="A589" s="51"/>
      <c r="B589" s="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2.75" x14ac:dyDescent="0.2">
      <c r="A590" s="51"/>
      <c r="B590" s="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2.75" x14ac:dyDescent="0.2">
      <c r="A591" s="51"/>
      <c r="B591" s="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2.75" x14ac:dyDescent="0.2">
      <c r="A592" s="51"/>
      <c r="B592" s="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2.75" x14ac:dyDescent="0.2">
      <c r="A593" s="51"/>
      <c r="B593" s="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2.75" x14ac:dyDescent="0.2">
      <c r="A594" s="51"/>
      <c r="B594" s="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2.75" x14ac:dyDescent="0.2">
      <c r="A595" s="51"/>
      <c r="B595" s="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2.75" x14ac:dyDescent="0.2">
      <c r="A596" s="51"/>
      <c r="B596" s="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2.75" x14ac:dyDescent="0.2">
      <c r="A597" s="51"/>
      <c r="B597" s="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2.75" x14ac:dyDescent="0.2">
      <c r="A598" s="51"/>
      <c r="B598" s="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2.75" x14ac:dyDescent="0.2">
      <c r="A599" s="51"/>
      <c r="B599" s="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2.75" x14ac:dyDescent="0.2">
      <c r="A600" s="51"/>
      <c r="B600" s="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2.75" x14ac:dyDescent="0.2">
      <c r="A601" s="51"/>
      <c r="B601" s="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2.75" x14ac:dyDescent="0.2">
      <c r="A602" s="51"/>
      <c r="B602" s="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2.75" x14ac:dyDescent="0.2">
      <c r="A603" s="51"/>
      <c r="B603" s="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2.75" x14ac:dyDescent="0.2">
      <c r="A604" s="51"/>
      <c r="B604" s="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2.75" x14ac:dyDescent="0.2">
      <c r="A605" s="51"/>
      <c r="B605" s="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2.75" x14ac:dyDescent="0.2">
      <c r="A606" s="51"/>
      <c r="B606" s="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2.75" x14ac:dyDescent="0.2">
      <c r="A607" s="51"/>
      <c r="B607" s="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2.75" x14ac:dyDescent="0.2">
      <c r="A608" s="51"/>
      <c r="B608" s="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2.75" x14ac:dyDescent="0.2">
      <c r="A609" s="51"/>
      <c r="B609" s="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2.75" x14ac:dyDescent="0.2">
      <c r="A610" s="51"/>
      <c r="B610" s="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2.75" x14ac:dyDescent="0.2">
      <c r="A611" s="51"/>
      <c r="B611" s="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2.75" x14ac:dyDescent="0.2">
      <c r="A612" s="51"/>
      <c r="B612" s="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2.75" x14ac:dyDescent="0.2">
      <c r="A613" s="51"/>
      <c r="B613" s="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2.75" x14ac:dyDescent="0.2">
      <c r="A614" s="51"/>
      <c r="B614" s="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2.75" x14ac:dyDescent="0.2">
      <c r="A615" s="51"/>
      <c r="B615" s="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2.75" x14ac:dyDescent="0.2">
      <c r="A616" s="51"/>
      <c r="B616" s="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2.75" x14ac:dyDescent="0.2">
      <c r="A617" s="51"/>
      <c r="B617" s="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2.75" x14ac:dyDescent="0.2">
      <c r="A618" s="51"/>
      <c r="B618" s="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2.75" x14ac:dyDescent="0.2">
      <c r="A619" s="51"/>
      <c r="B619" s="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2.75" x14ac:dyDescent="0.2">
      <c r="A620" s="51"/>
      <c r="B620" s="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2.75" x14ac:dyDescent="0.2">
      <c r="A621" s="51"/>
      <c r="B621" s="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2.75" x14ac:dyDescent="0.2">
      <c r="A622" s="51"/>
      <c r="B622" s="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2.75" x14ac:dyDescent="0.2">
      <c r="A623" s="51"/>
      <c r="B623" s="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2.75" x14ac:dyDescent="0.2">
      <c r="A624" s="51"/>
      <c r="B624" s="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2.75" x14ac:dyDescent="0.2">
      <c r="A625" s="51"/>
      <c r="B625" s="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2.75" x14ac:dyDescent="0.2">
      <c r="A626" s="51"/>
      <c r="B626" s="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2.75" x14ac:dyDescent="0.2">
      <c r="A627" s="51"/>
      <c r="B627" s="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2.75" x14ac:dyDescent="0.2">
      <c r="A628" s="51"/>
      <c r="B628" s="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2.75" x14ac:dyDescent="0.2">
      <c r="A629" s="51"/>
      <c r="B629" s="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2.75" x14ac:dyDescent="0.2">
      <c r="A630" s="51"/>
      <c r="B630" s="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2.75" x14ac:dyDescent="0.2">
      <c r="A631" s="51"/>
      <c r="B631" s="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2.75" x14ac:dyDescent="0.2">
      <c r="A632" s="51"/>
      <c r="B632" s="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2.75" x14ac:dyDescent="0.2">
      <c r="A633" s="51"/>
      <c r="B633" s="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2.75" x14ac:dyDescent="0.2">
      <c r="A634" s="51"/>
      <c r="B634" s="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2.75" x14ac:dyDescent="0.2">
      <c r="A635" s="51"/>
      <c r="B635" s="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2.75" x14ac:dyDescent="0.2">
      <c r="A636" s="51"/>
      <c r="B636" s="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2.75" x14ac:dyDescent="0.2">
      <c r="A637" s="51"/>
      <c r="B637" s="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2.75" x14ac:dyDescent="0.2">
      <c r="A638" s="51"/>
      <c r="B638" s="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2.75" x14ac:dyDescent="0.2">
      <c r="A639" s="51"/>
      <c r="B639" s="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2.75" x14ac:dyDescent="0.2">
      <c r="A640" s="51"/>
      <c r="B640" s="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2.75" x14ac:dyDescent="0.2">
      <c r="A641" s="51"/>
      <c r="B641" s="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2.75" x14ac:dyDescent="0.2">
      <c r="A642" s="51"/>
      <c r="B642" s="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2.75" x14ac:dyDescent="0.2">
      <c r="A643" s="51"/>
      <c r="B643" s="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2.75" x14ac:dyDescent="0.2">
      <c r="A644" s="51"/>
      <c r="B644" s="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2.75" x14ac:dyDescent="0.2">
      <c r="A645" s="51"/>
      <c r="B645" s="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2.75" x14ac:dyDescent="0.2">
      <c r="A646" s="51"/>
      <c r="B646" s="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2.75" x14ac:dyDescent="0.2">
      <c r="A647" s="51"/>
      <c r="B647" s="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2.75" x14ac:dyDescent="0.2">
      <c r="A648" s="51"/>
      <c r="B648" s="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2.75" x14ac:dyDescent="0.2">
      <c r="A649" s="51"/>
      <c r="B649" s="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2.75" x14ac:dyDescent="0.2">
      <c r="A650" s="51"/>
      <c r="B650" s="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2.75" x14ac:dyDescent="0.2">
      <c r="A651" s="51"/>
      <c r="B651" s="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2.75" x14ac:dyDescent="0.2">
      <c r="A652" s="51"/>
      <c r="B652" s="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2.75" x14ac:dyDescent="0.2">
      <c r="A653" s="51"/>
      <c r="B653" s="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2.75" x14ac:dyDescent="0.2">
      <c r="A654" s="51"/>
      <c r="B654" s="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2.75" x14ac:dyDescent="0.2">
      <c r="A655" s="51"/>
      <c r="B655" s="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2.75" x14ac:dyDescent="0.2">
      <c r="A656" s="51"/>
      <c r="B656" s="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2.75" x14ac:dyDescent="0.2">
      <c r="A657" s="51"/>
      <c r="B657" s="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2.75" x14ac:dyDescent="0.2">
      <c r="A658" s="51"/>
      <c r="B658" s="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2.75" x14ac:dyDescent="0.2">
      <c r="A659" s="51"/>
      <c r="B659" s="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2.75" x14ac:dyDescent="0.2">
      <c r="A660" s="51"/>
      <c r="B660" s="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2.75" x14ac:dyDescent="0.2">
      <c r="A661" s="51"/>
      <c r="B661" s="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2.75" x14ac:dyDescent="0.2">
      <c r="A662" s="51"/>
      <c r="B662" s="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2.75" x14ac:dyDescent="0.2">
      <c r="A663" s="51"/>
      <c r="B663" s="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2.75" x14ac:dyDescent="0.2">
      <c r="A664" s="51"/>
      <c r="B664" s="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2.75" x14ac:dyDescent="0.2">
      <c r="A665" s="51"/>
      <c r="B665" s="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2.75" x14ac:dyDescent="0.2">
      <c r="A666" s="51"/>
      <c r="B666" s="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2.75" x14ac:dyDescent="0.2">
      <c r="A667" s="51"/>
      <c r="B667" s="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2.75" x14ac:dyDescent="0.2">
      <c r="A668" s="51"/>
      <c r="B668" s="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2.75" x14ac:dyDescent="0.2">
      <c r="A669" s="51"/>
      <c r="B669" s="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2.75" x14ac:dyDescent="0.2">
      <c r="A670" s="51"/>
      <c r="B670" s="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2.75" x14ac:dyDescent="0.2">
      <c r="A671" s="51"/>
      <c r="B671" s="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2.75" x14ac:dyDescent="0.2">
      <c r="A672" s="51"/>
      <c r="B672" s="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2.75" x14ac:dyDescent="0.2">
      <c r="A673" s="51"/>
      <c r="B673" s="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2.75" x14ac:dyDescent="0.2">
      <c r="A674" s="51"/>
      <c r="B674" s="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2.75" x14ac:dyDescent="0.2">
      <c r="A675" s="51"/>
      <c r="B675" s="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2.75" x14ac:dyDescent="0.2">
      <c r="A676" s="51"/>
      <c r="B676" s="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2.75" x14ac:dyDescent="0.2">
      <c r="A677" s="51"/>
      <c r="B677" s="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2.75" x14ac:dyDescent="0.2">
      <c r="A678" s="51"/>
      <c r="B678" s="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2.75" x14ac:dyDescent="0.2">
      <c r="A679" s="51"/>
      <c r="B679" s="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2.75" x14ac:dyDescent="0.2">
      <c r="A680" s="51"/>
      <c r="B680" s="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2.75" x14ac:dyDescent="0.2">
      <c r="A681" s="51"/>
      <c r="B681" s="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2.75" x14ac:dyDescent="0.2">
      <c r="A682" s="51"/>
      <c r="B682" s="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2.75" x14ac:dyDescent="0.2">
      <c r="A683" s="51"/>
      <c r="B683" s="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2.75" x14ac:dyDescent="0.2">
      <c r="A684" s="51"/>
      <c r="B684" s="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2.75" x14ac:dyDescent="0.2">
      <c r="A685" s="51"/>
      <c r="B685" s="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2.75" x14ac:dyDescent="0.2">
      <c r="A686" s="51"/>
      <c r="B686" s="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2.75" x14ac:dyDescent="0.2">
      <c r="A687" s="51"/>
      <c r="B687" s="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2.75" x14ac:dyDescent="0.2">
      <c r="A688" s="51"/>
      <c r="B688" s="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2.75" x14ac:dyDescent="0.2">
      <c r="A689" s="51"/>
      <c r="B689" s="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2.75" x14ac:dyDescent="0.2">
      <c r="A690" s="51"/>
      <c r="B690" s="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2.75" x14ac:dyDescent="0.2">
      <c r="A691" s="51"/>
      <c r="B691" s="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2.75" x14ac:dyDescent="0.2">
      <c r="A692" s="51"/>
      <c r="B692" s="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2.75" x14ac:dyDescent="0.2">
      <c r="A693" s="51"/>
      <c r="B693" s="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2.75" x14ac:dyDescent="0.2">
      <c r="A694" s="51"/>
      <c r="B694" s="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2.75" x14ac:dyDescent="0.2">
      <c r="A695" s="51"/>
      <c r="B695" s="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2.75" x14ac:dyDescent="0.2">
      <c r="A696" s="51"/>
      <c r="B696" s="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2.75" x14ac:dyDescent="0.2">
      <c r="A697" s="51"/>
      <c r="B697" s="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2.75" x14ac:dyDescent="0.2">
      <c r="A698" s="51"/>
      <c r="B698" s="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2.75" x14ac:dyDescent="0.2">
      <c r="A699" s="51"/>
      <c r="B699" s="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2.75" x14ac:dyDescent="0.2">
      <c r="A700" s="51"/>
      <c r="B700" s="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2.75" x14ac:dyDescent="0.2">
      <c r="A701" s="51"/>
      <c r="B701" s="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2.75" x14ac:dyDescent="0.2">
      <c r="A702" s="51"/>
      <c r="B702" s="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2.75" x14ac:dyDescent="0.2">
      <c r="A703" s="51"/>
      <c r="B703" s="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2.75" x14ac:dyDescent="0.2">
      <c r="A704" s="51"/>
      <c r="B704" s="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2.75" x14ac:dyDescent="0.2">
      <c r="A705" s="51"/>
      <c r="B705" s="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2.75" x14ac:dyDescent="0.2">
      <c r="A706" s="51"/>
      <c r="B706" s="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2.75" x14ac:dyDescent="0.2">
      <c r="A707" s="51"/>
      <c r="B707" s="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2.75" x14ac:dyDescent="0.2">
      <c r="A708" s="51"/>
      <c r="B708" s="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2.75" x14ac:dyDescent="0.2">
      <c r="A709" s="51"/>
      <c r="B709" s="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2.75" x14ac:dyDescent="0.2">
      <c r="A710" s="51"/>
      <c r="B710" s="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2.75" x14ac:dyDescent="0.2">
      <c r="A711" s="51"/>
      <c r="B711" s="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2.75" x14ac:dyDescent="0.2">
      <c r="A712" s="51"/>
      <c r="B712" s="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2.75" x14ac:dyDescent="0.2">
      <c r="A713" s="51"/>
      <c r="B713" s="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2.75" x14ac:dyDescent="0.2">
      <c r="A714" s="51"/>
      <c r="B714" s="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2.75" x14ac:dyDescent="0.2">
      <c r="A715" s="51"/>
      <c r="B715" s="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2.75" x14ac:dyDescent="0.2">
      <c r="A716" s="51"/>
      <c r="B716" s="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2.75" x14ac:dyDescent="0.2">
      <c r="A717" s="51"/>
      <c r="B717" s="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2.75" x14ac:dyDescent="0.2">
      <c r="A718" s="51"/>
      <c r="B718" s="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2.75" x14ac:dyDescent="0.2">
      <c r="A719" s="51"/>
      <c r="B719" s="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2.75" x14ac:dyDescent="0.2">
      <c r="A720" s="51"/>
      <c r="B720" s="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2.75" x14ac:dyDescent="0.2">
      <c r="A721" s="51"/>
      <c r="B721" s="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2.75" x14ac:dyDescent="0.2">
      <c r="A722" s="51"/>
      <c r="B722" s="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2.75" x14ac:dyDescent="0.2">
      <c r="A723" s="51"/>
      <c r="B723" s="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2.75" x14ac:dyDescent="0.2">
      <c r="A724" s="51"/>
      <c r="B724" s="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2.75" x14ac:dyDescent="0.2">
      <c r="A725" s="51"/>
      <c r="B725" s="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2.75" x14ac:dyDescent="0.2">
      <c r="A726" s="51"/>
      <c r="B726" s="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2.75" x14ac:dyDescent="0.2">
      <c r="A727" s="51"/>
      <c r="B727" s="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2.75" x14ac:dyDescent="0.2">
      <c r="A728" s="51"/>
      <c r="B728" s="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2.75" x14ac:dyDescent="0.2">
      <c r="A729" s="51"/>
      <c r="B729" s="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2.75" x14ac:dyDescent="0.2">
      <c r="A730" s="51"/>
      <c r="B730" s="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2.75" x14ac:dyDescent="0.2">
      <c r="A731" s="51"/>
      <c r="B731" s="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2.75" x14ac:dyDescent="0.2">
      <c r="A732" s="51"/>
      <c r="B732" s="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2.75" x14ac:dyDescent="0.2">
      <c r="A733" s="51"/>
      <c r="B733" s="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2.75" x14ac:dyDescent="0.2">
      <c r="A734" s="51"/>
      <c r="B734" s="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2.75" x14ac:dyDescent="0.2">
      <c r="A735" s="51"/>
      <c r="B735" s="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2.75" x14ac:dyDescent="0.2">
      <c r="A736" s="51"/>
      <c r="B736" s="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2.75" x14ac:dyDescent="0.2">
      <c r="A737" s="51"/>
      <c r="B737" s="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2.75" x14ac:dyDescent="0.2">
      <c r="A738" s="51"/>
      <c r="B738" s="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2.75" x14ac:dyDescent="0.2">
      <c r="A739" s="51"/>
      <c r="B739" s="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2.75" x14ac:dyDescent="0.2">
      <c r="A740" s="51"/>
      <c r="B740" s="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2.75" x14ac:dyDescent="0.2">
      <c r="A741" s="51"/>
      <c r="B741" s="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2.75" x14ac:dyDescent="0.2">
      <c r="A742" s="51"/>
      <c r="B742" s="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2.75" x14ac:dyDescent="0.2">
      <c r="A743" s="51"/>
      <c r="B743" s="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2.75" x14ac:dyDescent="0.2">
      <c r="A744" s="51"/>
      <c r="B744" s="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2.75" x14ac:dyDescent="0.2">
      <c r="A745" s="51"/>
      <c r="B745" s="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2.75" x14ac:dyDescent="0.2">
      <c r="A746" s="51"/>
      <c r="B746" s="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2.75" x14ac:dyDescent="0.2">
      <c r="A747" s="51"/>
      <c r="B747" s="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2.75" x14ac:dyDescent="0.2">
      <c r="A748" s="51"/>
      <c r="B748" s="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2.75" x14ac:dyDescent="0.2">
      <c r="A749" s="51"/>
      <c r="B749" s="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2.75" x14ac:dyDescent="0.2">
      <c r="A750" s="51"/>
      <c r="B750" s="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2.75" x14ac:dyDescent="0.2">
      <c r="A751" s="51"/>
      <c r="B751" s="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2.75" x14ac:dyDescent="0.2">
      <c r="A752" s="51"/>
      <c r="B752" s="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2.75" x14ac:dyDescent="0.2">
      <c r="A753" s="51"/>
      <c r="B753" s="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2.75" x14ac:dyDescent="0.2">
      <c r="A754" s="51"/>
      <c r="B754" s="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2.75" x14ac:dyDescent="0.2">
      <c r="A755" s="51"/>
      <c r="B755" s="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2.75" x14ac:dyDescent="0.2">
      <c r="A756" s="51"/>
      <c r="B756" s="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2.75" x14ac:dyDescent="0.2">
      <c r="A757" s="51"/>
      <c r="B757" s="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2.75" x14ac:dyDescent="0.2">
      <c r="A758" s="51"/>
      <c r="B758" s="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2.75" x14ac:dyDescent="0.2">
      <c r="A759" s="51"/>
      <c r="B759" s="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2.75" x14ac:dyDescent="0.2">
      <c r="A760" s="51"/>
      <c r="B760" s="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2.75" x14ac:dyDescent="0.2">
      <c r="A761" s="51"/>
      <c r="B761" s="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2.75" x14ac:dyDescent="0.2">
      <c r="A762" s="51"/>
      <c r="B762" s="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2.75" x14ac:dyDescent="0.2">
      <c r="A763" s="51"/>
      <c r="B763" s="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2.75" x14ac:dyDescent="0.2">
      <c r="A764" s="51"/>
      <c r="B764" s="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2.75" x14ac:dyDescent="0.2">
      <c r="A765" s="51"/>
      <c r="B765" s="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2.75" x14ac:dyDescent="0.2">
      <c r="A766" s="51"/>
      <c r="B766" s="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2.75" x14ac:dyDescent="0.2">
      <c r="A767" s="51"/>
      <c r="B767" s="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2.75" x14ac:dyDescent="0.2">
      <c r="A768" s="51"/>
      <c r="B768" s="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2.75" x14ac:dyDescent="0.2">
      <c r="A769" s="51"/>
      <c r="B769" s="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2.75" x14ac:dyDescent="0.2">
      <c r="A770" s="51"/>
      <c r="B770" s="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2.75" x14ac:dyDescent="0.2">
      <c r="A771" s="51"/>
      <c r="B771" s="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2.75" x14ac:dyDescent="0.2">
      <c r="A772" s="51"/>
      <c r="B772" s="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2.75" x14ac:dyDescent="0.2">
      <c r="A773" s="51"/>
      <c r="B773" s="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2.75" x14ac:dyDescent="0.2">
      <c r="A774" s="51"/>
      <c r="B774" s="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2.75" x14ac:dyDescent="0.2">
      <c r="A775" s="51"/>
      <c r="B775" s="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2.75" x14ac:dyDescent="0.2">
      <c r="A776" s="51"/>
      <c r="B776" s="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2.75" x14ac:dyDescent="0.2">
      <c r="A777" s="51"/>
      <c r="B777" s="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2.75" x14ac:dyDescent="0.2">
      <c r="A778" s="51"/>
      <c r="B778" s="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2.75" x14ac:dyDescent="0.2">
      <c r="A779" s="51"/>
      <c r="B779" s="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2.75" x14ac:dyDescent="0.2">
      <c r="A780" s="51"/>
      <c r="B780" s="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2.75" x14ac:dyDescent="0.2">
      <c r="A781" s="51"/>
      <c r="B781" s="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2.75" x14ac:dyDescent="0.2">
      <c r="A782" s="51"/>
      <c r="B782" s="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2.75" x14ac:dyDescent="0.2">
      <c r="A783" s="51"/>
      <c r="B783" s="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2.75" x14ac:dyDescent="0.2">
      <c r="A784" s="51"/>
      <c r="B784" s="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2.75" x14ac:dyDescent="0.2">
      <c r="A785" s="51"/>
      <c r="B785" s="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2.75" x14ac:dyDescent="0.2">
      <c r="A786" s="51"/>
      <c r="B786" s="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2.75" x14ac:dyDescent="0.2">
      <c r="A787" s="51"/>
      <c r="B787" s="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2.75" x14ac:dyDescent="0.2">
      <c r="A788" s="51"/>
      <c r="B788" s="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2.75" x14ac:dyDescent="0.2">
      <c r="A789" s="51"/>
      <c r="B789" s="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2.75" x14ac:dyDescent="0.2">
      <c r="A790" s="51"/>
      <c r="B790" s="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2.75" x14ac:dyDescent="0.2">
      <c r="A791" s="51"/>
      <c r="B791" s="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2.75" x14ac:dyDescent="0.2">
      <c r="A792" s="51"/>
      <c r="B792" s="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2.75" x14ac:dyDescent="0.2">
      <c r="A793" s="51"/>
      <c r="B793" s="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2.75" x14ac:dyDescent="0.2">
      <c r="A794" s="51"/>
      <c r="B794" s="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2.75" x14ac:dyDescent="0.2">
      <c r="A795" s="51"/>
      <c r="B795" s="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2.75" x14ac:dyDescent="0.2">
      <c r="A796" s="51"/>
      <c r="B796" s="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2.75" x14ac:dyDescent="0.2">
      <c r="A797" s="51"/>
      <c r="B797" s="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2.75" x14ac:dyDescent="0.2">
      <c r="A798" s="51"/>
      <c r="B798" s="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2.75" x14ac:dyDescent="0.2">
      <c r="A799" s="51"/>
      <c r="B799" s="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2.75" x14ac:dyDescent="0.2">
      <c r="A800" s="51"/>
      <c r="B800" s="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2.75" x14ac:dyDescent="0.2">
      <c r="A801" s="51"/>
      <c r="B801" s="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2.75" x14ac:dyDescent="0.2">
      <c r="A802" s="51"/>
      <c r="B802" s="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2.75" x14ac:dyDescent="0.2">
      <c r="A803" s="51"/>
      <c r="B803" s="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2.75" x14ac:dyDescent="0.2">
      <c r="A804" s="51"/>
      <c r="B804" s="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2.75" x14ac:dyDescent="0.2">
      <c r="A805" s="51"/>
      <c r="B805" s="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2.75" x14ac:dyDescent="0.2">
      <c r="A806" s="51"/>
      <c r="B806" s="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2.75" x14ac:dyDescent="0.2">
      <c r="A807" s="51"/>
      <c r="B807" s="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2.75" x14ac:dyDescent="0.2">
      <c r="A808" s="51"/>
      <c r="B808" s="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2.75" x14ac:dyDescent="0.2">
      <c r="A809" s="51"/>
      <c r="B809" s="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2.75" x14ac:dyDescent="0.2">
      <c r="A810" s="51"/>
      <c r="B810" s="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2.75" x14ac:dyDescent="0.2">
      <c r="A811" s="51"/>
      <c r="B811" s="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2.75" x14ac:dyDescent="0.2">
      <c r="A812" s="51"/>
      <c r="B812" s="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2.75" x14ac:dyDescent="0.2">
      <c r="A813" s="51"/>
      <c r="B813" s="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2.75" x14ac:dyDescent="0.2">
      <c r="A814" s="51"/>
      <c r="B814" s="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2.75" x14ac:dyDescent="0.2">
      <c r="A815" s="51"/>
      <c r="B815" s="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2.75" x14ac:dyDescent="0.2">
      <c r="A816" s="51"/>
      <c r="B816" s="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2.75" x14ac:dyDescent="0.2">
      <c r="A817" s="51"/>
      <c r="B817" s="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2.75" x14ac:dyDescent="0.2">
      <c r="A818" s="51"/>
      <c r="B818" s="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2.75" x14ac:dyDescent="0.2">
      <c r="A819" s="51"/>
      <c r="B819" s="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2.75" x14ac:dyDescent="0.2">
      <c r="A820" s="51"/>
      <c r="B820" s="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2.75" x14ac:dyDescent="0.2">
      <c r="A821" s="51"/>
      <c r="B821" s="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2.75" x14ac:dyDescent="0.2">
      <c r="A822" s="51"/>
      <c r="B822" s="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2.75" x14ac:dyDescent="0.2">
      <c r="A823" s="51"/>
      <c r="B823" s="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2.75" x14ac:dyDescent="0.2">
      <c r="A824" s="51"/>
      <c r="B824" s="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2.75" x14ac:dyDescent="0.2">
      <c r="A825" s="51"/>
      <c r="B825" s="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2.75" x14ac:dyDescent="0.2">
      <c r="A826" s="51"/>
      <c r="B826" s="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2.75" x14ac:dyDescent="0.2">
      <c r="A827" s="51"/>
      <c r="B827" s="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2.75" x14ac:dyDescent="0.2">
      <c r="A828" s="51"/>
      <c r="B828" s="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2.75" x14ac:dyDescent="0.2">
      <c r="A829" s="51"/>
      <c r="B829" s="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2.75" x14ac:dyDescent="0.2">
      <c r="A830" s="51"/>
      <c r="B830" s="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2.75" x14ac:dyDescent="0.2">
      <c r="A831" s="51"/>
      <c r="B831" s="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2.75" x14ac:dyDescent="0.2">
      <c r="A832" s="51"/>
      <c r="B832" s="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2.75" x14ac:dyDescent="0.2">
      <c r="A833" s="51"/>
      <c r="B833" s="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2.75" x14ac:dyDescent="0.2">
      <c r="A834" s="51"/>
      <c r="B834" s="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2.75" x14ac:dyDescent="0.2">
      <c r="A835" s="51"/>
      <c r="B835" s="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2.75" x14ac:dyDescent="0.2">
      <c r="A836" s="51"/>
      <c r="B836" s="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2.75" x14ac:dyDescent="0.2">
      <c r="A837" s="51"/>
      <c r="B837" s="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2.75" x14ac:dyDescent="0.2">
      <c r="A838" s="51"/>
      <c r="B838" s="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2.75" x14ac:dyDescent="0.2">
      <c r="A839" s="51"/>
      <c r="B839" s="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2.75" x14ac:dyDescent="0.2">
      <c r="A840" s="51"/>
      <c r="B840" s="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2.75" x14ac:dyDescent="0.2">
      <c r="A841" s="51"/>
      <c r="B841" s="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2.75" x14ac:dyDescent="0.2">
      <c r="A842" s="51"/>
      <c r="B842" s="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2.75" x14ac:dyDescent="0.2">
      <c r="A843" s="51"/>
      <c r="B843" s="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2.75" x14ac:dyDescent="0.2">
      <c r="A844" s="51"/>
      <c r="B844" s="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2.75" x14ac:dyDescent="0.2">
      <c r="A845" s="51"/>
      <c r="B845" s="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2.75" x14ac:dyDescent="0.2">
      <c r="A846" s="51"/>
      <c r="B846" s="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2.75" x14ac:dyDescent="0.2">
      <c r="A847" s="51"/>
      <c r="B847" s="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2.75" x14ac:dyDescent="0.2">
      <c r="A848" s="51"/>
      <c r="B848" s="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2.75" x14ac:dyDescent="0.2">
      <c r="A849" s="51"/>
      <c r="B849" s="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2.75" x14ac:dyDescent="0.2">
      <c r="A850" s="51"/>
      <c r="B850" s="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2.75" x14ac:dyDescent="0.2">
      <c r="A851" s="51"/>
      <c r="B851" s="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2.75" x14ac:dyDescent="0.2">
      <c r="A852" s="51"/>
      <c r="B852" s="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2.75" x14ac:dyDescent="0.2">
      <c r="A853" s="51"/>
      <c r="B853" s="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2.75" x14ac:dyDescent="0.2">
      <c r="A854" s="51"/>
      <c r="B854" s="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2.75" x14ac:dyDescent="0.2">
      <c r="A855" s="51"/>
      <c r="B855" s="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2.75" x14ac:dyDescent="0.2">
      <c r="A856" s="51"/>
      <c r="B856" s="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2.75" x14ac:dyDescent="0.2">
      <c r="A857" s="51"/>
      <c r="B857" s="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2.75" x14ac:dyDescent="0.2">
      <c r="A858" s="51"/>
      <c r="B858" s="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2.75" x14ac:dyDescent="0.2">
      <c r="A859" s="51"/>
      <c r="B859" s="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2.75" x14ac:dyDescent="0.2">
      <c r="A860" s="51"/>
      <c r="B860" s="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2.75" x14ac:dyDescent="0.2">
      <c r="A861" s="51"/>
      <c r="B861" s="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2.75" x14ac:dyDescent="0.2">
      <c r="A862" s="51"/>
      <c r="B862" s="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2.75" x14ac:dyDescent="0.2">
      <c r="A863" s="51"/>
      <c r="B863" s="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2.75" x14ac:dyDescent="0.2">
      <c r="A864" s="51"/>
      <c r="B864" s="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2.75" x14ac:dyDescent="0.2">
      <c r="A865" s="51"/>
      <c r="B865" s="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2.75" x14ac:dyDescent="0.2">
      <c r="A866" s="51"/>
      <c r="B866" s="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2.75" x14ac:dyDescent="0.2">
      <c r="A867" s="51"/>
      <c r="B867" s="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2.75" x14ac:dyDescent="0.2">
      <c r="A868" s="51"/>
      <c r="B868" s="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2.75" x14ac:dyDescent="0.2">
      <c r="A869" s="51"/>
      <c r="B869" s="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2.75" x14ac:dyDescent="0.2">
      <c r="A870" s="51"/>
      <c r="B870" s="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2.75" x14ac:dyDescent="0.2">
      <c r="A871" s="51"/>
      <c r="B871" s="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2.75" x14ac:dyDescent="0.2">
      <c r="A872" s="51"/>
      <c r="B872" s="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2.75" x14ac:dyDescent="0.2">
      <c r="A873" s="51"/>
      <c r="B873" s="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2.75" x14ac:dyDescent="0.2">
      <c r="A874" s="51"/>
      <c r="B874" s="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2.75" x14ac:dyDescent="0.2">
      <c r="A875" s="51"/>
      <c r="B875" s="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2.75" x14ac:dyDescent="0.2">
      <c r="A876" s="51"/>
      <c r="B876" s="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2.75" x14ac:dyDescent="0.2">
      <c r="A877" s="51"/>
      <c r="B877" s="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2.75" x14ac:dyDescent="0.2">
      <c r="A878" s="51"/>
      <c r="B878" s="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2.75" x14ac:dyDescent="0.2">
      <c r="A879" s="51"/>
      <c r="B879" s="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2.75" x14ac:dyDescent="0.2">
      <c r="A880" s="51"/>
      <c r="B880" s="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2.75" x14ac:dyDescent="0.2">
      <c r="A881" s="51"/>
      <c r="B881" s="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2.75" x14ac:dyDescent="0.2">
      <c r="A882" s="51"/>
      <c r="B882" s="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2.75" x14ac:dyDescent="0.2">
      <c r="A883" s="51"/>
      <c r="B883" s="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2.75" x14ac:dyDescent="0.2">
      <c r="A884" s="51"/>
      <c r="B884" s="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2.75" x14ac:dyDescent="0.2">
      <c r="A885" s="51"/>
      <c r="B885" s="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2.75" x14ac:dyDescent="0.2">
      <c r="A886" s="51"/>
      <c r="B886" s="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2.75" x14ac:dyDescent="0.2">
      <c r="A887" s="51"/>
      <c r="B887" s="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2.75" x14ac:dyDescent="0.2">
      <c r="A888" s="51"/>
      <c r="B888" s="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2.75" x14ac:dyDescent="0.2">
      <c r="A889" s="51"/>
      <c r="B889" s="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2.75" x14ac:dyDescent="0.2">
      <c r="A890" s="51"/>
      <c r="B890" s="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</sheetData>
  <mergeCells count="8">
    <mergeCell ref="D1:G1"/>
    <mergeCell ref="D6:P6"/>
    <mergeCell ref="D7:P7"/>
    <mergeCell ref="D8:P8"/>
    <mergeCell ref="D2:P2"/>
    <mergeCell ref="D3:P3"/>
    <mergeCell ref="D4:P4"/>
    <mergeCell ref="D5:P5"/>
  </mergeCells>
  <printOptions horizontalCentered="1"/>
  <pageMargins left="0.3" right="0.3" top="0.3" bottom="0.3" header="0" footer="0"/>
  <pageSetup scale="55" fitToHeight="0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BA07-8E46-4427-ABD3-692FD337977F}">
  <sheetPr>
    <tabColor theme="9"/>
  </sheetPr>
  <dimension ref="B1:T40"/>
  <sheetViews>
    <sheetView workbookViewId="0"/>
  </sheetViews>
  <sheetFormatPr defaultColWidth="11.42578125" defaultRowHeight="12.75" x14ac:dyDescent="0.2"/>
  <cols>
    <col min="1" max="1" width="3" style="43" customWidth="1"/>
    <col min="2" max="2" width="8.7109375" style="43" customWidth="1"/>
    <col min="3" max="3" width="20.7109375" style="43" customWidth="1"/>
    <col min="4" max="4" width="40.7109375" style="43" customWidth="1"/>
    <col min="5" max="5" width="71.7109375" style="43" customWidth="1"/>
    <col min="6" max="6" width="18.7109375" style="43" customWidth="1"/>
    <col min="7" max="7" width="37.7109375" style="43" customWidth="1"/>
    <col min="8" max="8" width="91.7109375" style="43" customWidth="1"/>
    <col min="9" max="9" width="15.140625" style="43" bestFit="1" customWidth="1"/>
    <col min="10" max="10" width="17.140625" style="43" bestFit="1" customWidth="1"/>
    <col min="11" max="16384" width="11.42578125" style="43"/>
  </cols>
  <sheetData>
    <row r="1" spans="2:20" s="4" customFormat="1" ht="45" customHeight="1" x14ac:dyDescent="0.2">
      <c r="C1" s="3"/>
      <c r="D1" s="91" t="s">
        <v>100</v>
      </c>
      <c r="E1" s="91"/>
      <c r="F1" s="91"/>
      <c r="G1" s="91"/>
      <c r="H1" s="3"/>
      <c r="I1" s="14"/>
      <c r="J1" s="14"/>
      <c r="K1" s="14"/>
      <c r="L1" s="8"/>
      <c r="M1" s="8"/>
      <c r="N1" s="3"/>
      <c r="O1" s="3"/>
      <c r="P1" s="3"/>
      <c r="Q1" s="3"/>
      <c r="R1" s="3"/>
      <c r="S1" s="3"/>
      <c r="T1" s="3"/>
    </row>
    <row r="2" spans="2:20" s="4" customFormat="1" ht="19.5" customHeight="1" x14ac:dyDescent="0.2">
      <c r="B2" s="150" t="s">
        <v>101</v>
      </c>
      <c r="C2" s="151"/>
      <c r="D2" s="151"/>
      <c r="E2" s="152"/>
      <c r="F2" s="14"/>
      <c r="G2" s="14"/>
      <c r="H2" s="3"/>
      <c r="I2" s="14"/>
      <c r="J2" s="14"/>
      <c r="K2" s="14"/>
      <c r="L2" s="8"/>
      <c r="M2" s="8"/>
      <c r="N2" s="3"/>
      <c r="O2" s="3"/>
      <c r="P2" s="3"/>
      <c r="Q2" s="3"/>
      <c r="R2" s="3"/>
      <c r="S2" s="3"/>
      <c r="T2" s="3"/>
    </row>
    <row r="3" spans="2:20" s="4" customFormat="1" ht="19.5" customHeight="1" x14ac:dyDescent="0.2">
      <c r="B3" s="157" t="s">
        <v>102</v>
      </c>
      <c r="C3" s="158"/>
      <c r="D3" s="157" t="s">
        <v>103</v>
      </c>
      <c r="E3" s="158"/>
      <c r="F3" s="14"/>
      <c r="G3" s="14"/>
      <c r="H3" s="3"/>
      <c r="I3" s="14"/>
      <c r="J3" s="14"/>
      <c r="K3" s="14"/>
      <c r="L3" s="8"/>
      <c r="M3" s="8"/>
      <c r="N3" s="3"/>
      <c r="O3" s="3"/>
      <c r="P3" s="3"/>
      <c r="Q3" s="3"/>
      <c r="R3" s="3"/>
      <c r="S3" s="3"/>
      <c r="T3" s="3"/>
    </row>
    <row r="4" spans="2:20" s="4" customFormat="1" ht="19.5" customHeight="1" x14ac:dyDescent="0.2">
      <c r="B4" s="147" t="s">
        <v>141</v>
      </c>
      <c r="C4" s="148"/>
      <c r="D4" s="147" t="s">
        <v>142</v>
      </c>
      <c r="E4" s="148"/>
      <c r="F4" s="14"/>
      <c r="G4" s="14"/>
      <c r="H4" s="3"/>
      <c r="I4" s="14"/>
      <c r="J4" s="14"/>
      <c r="K4" s="14"/>
      <c r="L4" s="8"/>
      <c r="M4" s="8"/>
      <c r="N4" s="3"/>
      <c r="O4" s="3"/>
      <c r="P4" s="3"/>
      <c r="Q4" s="3"/>
      <c r="R4" s="3"/>
      <c r="S4" s="3"/>
      <c r="T4" s="3"/>
    </row>
    <row r="5" spans="2:20" s="4" customFormat="1" ht="19.5" customHeight="1" x14ac:dyDescent="0.2">
      <c r="C5" s="3"/>
      <c r="D5" s="14"/>
      <c r="E5" s="14"/>
      <c r="F5" s="14"/>
      <c r="G5" s="14"/>
      <c r="H5" s="3"/>
      <c r="I5" s="14"/>
      <c r="J5" s="14"/>
      <c r="K5" s="14"/>
      <c r="L5" s="8"/>
      <c r="M5" s="8"/>
      <c r="N5" s="3"/>
      <c r="O5" s="3"/>
      <c r="P5" s="3"/>
      <c r="Q5" s="3"/>
      <c r="R5" s="3"/>
      <c r="S5" s="3"/>
      <c r="T5" s="3"/>
    </row>
    <row r="6" spans="2:20" ht="19.5" customHeight="1" x14ac:dyDescent="0.2">
      <c r="B6" s="150" t="s">
        <v>104</v>
      </c>
      <c r="C6" s="151"/>
      <c r="D6" s="151"/>
      <c r="E6" s="152"/>
      <c r="F6" s="16"/>
      <c r="G6" s="42"/>
      <c r="H6" s="16"/>
    </row>
    <row r="7" spans="2:20" ht="30" customHeight="1" x14ac:dyDescent="0.2">
      <c r="B7" s="147"/>
      <c r="C7" s="148"/>
      <c r="D7" s="143" t="s">
        <v>105</v>
      </c>
      <c r="E7" s="144"/>
    </row>
    <row r="8" spans="2:20" ht="19.5" customHeight="1" x14ac:dyDescent="0.2">
      <c r="B8" s="153"/>
      <c r="C8" s="154"/>
      <c r="D8" s="143" t="s">
        <v>106</v>
      </c>
      <c r="E8" s="144"/>
    </row>
    <row r="9" spans="2:20" ht="19.5" customHeight="1" x14ac:dyDescent="0.2">
      <c r="B9" s="147" t="s">
        <v>107</v>
      </c>
      <c r="C9" s="148"/>
      <c r="D9" s="143" t="s">
        <v>140</v>
      </c>
      <c r="E9" s="144"/>
    </row>
    <row r="10" spans="2:20" ht="19.5" customHeight="1" x14ac:dyDescent="0.2">
      <c r="B10" s="147" t="s">
        <v>108</v>
      </c>
      <c r="C10" s="148"/>
      <c r="D10" s="143" t="s">
        <v>109</v>
      </c>
      <c r="E10" s="144"/>
    </row>
    <row r="11" spans="2:20" ht="45.95" customHeight="1" x14ac:dyDescent="0.2">
      <c r="B11" s="147" t="s">
        <v>130</v>
      </c>
      <c r="C11" s="148"/>
      <c r="D11" s="143" t="s">
        <v>132</v>
      </c>
      <c r="E11" s="144"/>
    </row>
    <row r="12" spans="2:20" ht="19.5" customHeight="1" x14ac:dyDescent="0.2">
      <c r="B12" s="147" t="s">
        <v>138</v>
      </c>
      <c r="C12" s="148"/>
      <c r="D12" s="143" t="s">
        <v>131</v>
      </c>
      <c r="E12" s="144"/>
    </row>
    <row r="13" spans="2:20" ht="19.5" customHeight="1" x14ac:dyDescent="0.2">
      <c r="B13" s="155" t="s">
        <v>110</v>
      </c>
      <c r="C13" s="156"/>
      <c r="D13" s="143"/>
      <c r="E13" s="144"/>
    </row>
    <row r="14" spans="2:20" ht="19.5" customHeight="1" x14ac:dyDescent="0.2">
      <c r="B14" s="44"/>
      <c r="C14" s="41" t="s">
        <v>111</v>
      </c>
      <c r="D14" s="143" t="s">
        <v>112</v>
      </c>
      <c r="E14" s="144"/>
    </row>
    <row r="15" spans="2:20" ht="19.5" customHeight="1" x14ac:dyDescent="0.2">
      <c r="B15" s="44"/>
      <c r="C15" s="45"/>
      <c r="D15" s="143" t="s">
        <v>113</v>
      </c>
      <c r="E15" s="144"/>
    </row>
    <row r="16" spans="2:20" ht="19.5" customHeight="1" x14ac:dyDescent="0.2">
      <c r="B16" s="44"/>
      <c r="C16" s="46"/>
      <c r="D16" s="143" t="s">
        <v>114</v>
      </c>
      <c r="E16" s="144"/>
    </row>
    <row r="17" spans="2:6" ht="19.5" customHeight="1" x14ac:dyDescent="0.2">
      <c r="B17" s="44"/>
      <c r="C17" s="47"/>
      <c r="D17" s="143" t="s">
        <v>115</v>
      </c>
      <c r="E17" s="144"/>
    </row>
    <row r="18" spans="2:6" ht="19.5" customHeight="1" x14ac:dyDescent="0.2">
      <c r="B18" s="145"/>
      <c r="C18" s="145"/>
      <c r="D18" s="146"/>
      <c r="E18" s="146"/>
    </row>
    <row r="19" spans="2:6" ht="19.5" customHeight="1" x14ac:dyDescent="0.2">
      <c r="B19" s="16"/>
      <c r="C19" s="42"/>
      <c r="D19" s="48"/>
    </row>
    <row r="20" spans="2:6" ht="19.5" customHeight="1" x14ac:dyDescent="0.2">
      <c r="B20" s="16"/>
      <c r="C20" s="42"/>
      <c r="D20" s="16"/>
    </row>
    <row r="21" spans="2:6" ht="19.5" customHeight="1" x14ac:dyDescent="0.2">
      <c r="B21" s="16"/>
      <c r="C21" s="42"/>
      <c r="D21" s="16"/>
    </row>
    <row r="22" spans="2:6" ht="19.5" customHeight="1" x14ac:dyDescent="0.2">
      <c r="B22" s="37"/>
      <c r="C22" s="37"/>
      <c r="D22" s="37"/>
      <c r="E22" s="149"/>
      <c r="F22" s="149"/>
    </row>
    <row r="23" spans="2:6" ht="19.5" customHeight="1" x14ac:dyDescent="0.2">
      <c r="B23" s="16"/>
      <c r="C23" s="42"/>
      <c r="D23" s="49"/>
    </row>
    <row r="24" spans="2:6" ht="19.5" customHeight="1" x14ac:dyDescent="0.2">
      <c r="B24" s="16"/>
      <c r="C24" s="42"/>
      <c r="D24" s="49"/>
    </row>
    <row r="25" spans="2:6" ht="19.5" customHeight="1" x14ac:dyDescent="0.2">
      <c r="B25" s="16"/>
      <c r="C25" s="50"/>
      <c r="D25" s="49"/>
    </row>
    <row r="26" spans="2:6" ht="19.5" customHeight="1" x14ac:dyDescent="0.2">
      <c r="B26" s="16"/>
      <c r="C26" s="42"/>
      <c r="D26" s="16"/>
    </row>
    <row r="27" spans="2:6" ht="19.5" customHeight="1" x14ac:dyDescent="0.2">
      <c r="B27" s="16"/>
      <c r="C27" s="42"/>
      <c r="D27" s="16"/>
    </row>
    <row r="28" spans="2:6" ht="19.5" customHeight="1" x14ac:dyDescent="0.2"/>
    <row r="29" spans="2:6" ht="19.5" customHeight="1" x14ac:dyDescent="0.2"/>
    <row r="30" spans="2:6" ht="19.5" customHeight="1" x14ac:dyDescent="0.2"/>
    <row r="31" spans="2:6" ht="19.5" customHeight="1" x14ac:dyDescent="0.2"/>
    <row r="32" spans="2: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</sheetData>
  <mergeCells count="28">
    <mergeCell ref="D1:G1"/>
    <mergeCell ref="B2:E2"/>
    <mergeCell ref="B3:C3"/>
    <mergeCell ref="D3:E3"/>
    <mergeCell ref="B4:C4"/>
    <mergeCell ref="D4:E4"/>
    <mergeCell ref="E22:F22"/>
    <mergeCell ref="D15:E15"/>
    <mergeCell ref="B6:E6"/>
    <mergeCell ref="B7:C7"/>
    <mergeCell ref="D7:E7"/>
    <mergeCell ref="B8:C8"/>
    <mergeCell ref="D8:E8"/>
    <mergeCell ref="B9:C9"/>
    <mergeCell ref="D9:E9"/>
    <mergeCell ref="B10:C10"/>
    <mergeCell ref="D10:E10"/>
    <mergeCell ref="B13:C13"/>
    <mergeCell ref="D13:E13"/>
    <mergeCell ref="D14:E14"/>
    <mergeCell ref="B11:C11"/>
    <mergeCell ref="D11:E11"/>
    <mergeCell ref="D12:E12"/>
    <mergeCell ref="D16:E16"/>
    <mergeCell ref="D17:E17"/>
    <mergeCell ref="B18:C18"/>
    <mergeCell ref="D18:E18"/>
    <mergeCell ref="B12:C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Report</vt:lpstr>
      <vt:lpstr>Specific Test Cases</vt:lpstr>
      <vt:lpstr>Comments</vt:lpstr>
      <vt:lpstr>Legend</vt:lpstr>
      <vt:lpstr>Comments!Print_Area</vt:lpstr>
      <vt:lpstr>'Specific Test Cases'!Print_Area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Hambücken</dc:creator>
  <cp:lastModifiedBy>Sebastian Hambücken</cp:lastModifiedBy>
  <dcterms:modified xsi:type="dcterms:W3CDTF">2024-07-08T10:46:33Z</dcterms:modified>
</cp:coreProperties>
</file>