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ebastianHambücken\Desktop\"/>
    </mc:Choice>
  </mc:AlternateContent>
  <xr:revisionPtr revIDLastSave="0" documentId="13_ncr:1_{6361E661-F613-49E2-ACE3-872CCB45A695}" xr6:coauthVersionLast="47" xr6:coauthVersionMax="47" xr10:uidLastSave="{00000000-0000-0000-0000-000000000000}"/>
  <bookViews>
    <workbookView xWindow="28680" yWindow="-2700" windowWidth="38640" windowHeight="21120" xr2:uid="{494F177C-5D81-4BB2-8B25-4C5A2D28C318}"/>
  </bookViews>
  <sheets>
    <sheet name="Report" sheetId="6" r:id="rId1"/>
    <sheet name="Specific Test Cases" sheetId="1" r:id="rId2"/>
    <sheet name="Optional Support" sheetId="4" r:id="rId3"/>
    <sheet name="Comments" sheetId="3" r:id="rId4"/>
    <sheet name="Legend" sheetId="5" r:id="rId5"/>
  </sheets>
  <externalReferences>
    <externalReference r:id="rId6"/>
  </externalReferences>
  <definedNames>
    <definedName name="_ITEM1" localSheetId="3">Comments!#REF!</definedName>
    <definedName name="_ITEM1">'Specific Test Cases'!#REF!</definedName>
    <definedName name="_ITEM2" localSheetId="3">Comments!#REF!</definedName>
    <definedName name="_ITEM2">'Specific Test Cases'!#REF!</definedName>
    <definedName name="_ITEM3" localSheetId="3">Comments!#REF!</definedName>
    <definedName name="_ITEM3">'Specific Test Cases'!#REF!</definedName>
    <definedName name="_ITEM4" localSheetId="3">Comments!#REF!</definedName>
    <definedName name="_ITEM4">'Specific Test Cases'!#REF!</definedName>
    <definedName name="_ITEM5" localSheetId="3">Comments!#REF!</definedName>
    <definedName name="_ITEM5">'Specific Test Cases'!#REF!</definedName>
    <definedName name="_ITEM6" localSheetId="3">Comments!#REF!</definedName>
    <definedName name="_ITEM6">'Specific Test Cases'!#REF!</definedName>
    <definedName name="_xlnm.Print_Area" localSheetId="3">Comments!$B$1:$Q$8</definedName>
    <definedName name="_xlnm.Print_Area" localSheetId="0">Report!$A$1:$F$36</definedName>
    <definedName name="_xlnm.Print_Area" localSheetId="1">'Specific Test Cases'!$B$1:$W$75</definedName>
    <definedName name="Type">'[1]Maintenance Work Order'!#REF!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5" i="1" l="1"/>
  <c r="O100" i="1"/>
  <c r="E21" i="6" a="1"/>
  <c r="E21" i="6" s="1"/>
  <c r="E20" i="6" a="1"/>
  <c r="E20" i="6" s="1"/>
  <c r="E19" i="6" a="1"/>
  <c r="E19" i="6" s="1"/>
  <c r="E18" i="6" a="1"/>
  <c r="E18" i="6" s="1"/>
  <c r="E17" i="6" a="1"/>
  <c r="E17" i="6" s="1"/>
  <c r="E16" i="6" a="1"/>
  <c r="E16" i="6" s="1"/>
  <c r="E25" i="6" a="1"/>
  <c r="E25" i="6" s="1"/>
  <c r="E26" i="6"/>
  <c r="E30" i="6"/>
  <c r="E28" i="6"/>
  <c r="E22" i="6"/>
  <c r="O171" i="1"/>
  <c r="O128" i="1"/>
  <c r="N171" i="1"/>
  <c r="E91" i="1"/>
  <c r="E89" i="1"/>
  <c r="F91" i="1"/>
  <c r="F89" i="1"/>
  <c r="F88" i="1"/>
  <c r="E88" i="1"/>
  <c r="E90" i="1"/>
  <c r="E92" i="1"/>
  <c r="F85" i="1"/>
  <c r="F83" i="1"/>
  <c r="E85" i="1"/>
  <c r="E83" i="1"/>
  <c r="E86" i="1"/>
  <c r="E87" i="1"/>
  <c r="E84" i="1"/>
  <c r="F87" i="1"/>
  <c r="N100" i="1"/>
  <c r="N79" i="1"/>
  <c r="N128" i="1"/>
  <c r="N123" i="1"/>
  <c r="N109" i="1"/>
  <c r="N99" i="1"/>
  <c r="N98" i="1"/>
  <c r="N97" i="1"/>
  <c r="N96" i="1"/>
  <c r="N95" i="1"/>
  <c r="N94" i="1"/>
  <c r="N77" i="1"/>
  <c r="K72" i="1"/>
  <c r="K74" i="1"/>
  <c r="K98" i="1"/>
  <c r="K159" i="1"/>
  <c r="K97" i="1"/>
  <c r="K158" i="1"/>
  <c r="K131" i="1"/>
  <c r="K130" i="1"/>
  <c r="K124" i="1"/>
  <c r="K123" i="1"/>
  <c r="K109" i="1"/>
  <c r="K100" i="1"/>
  <c r="K99" i="1"/>
  <c r="K96" i="1"/>
  <c r="K75" i="1"/>
  <c r="K71" i="1"/>
  <c r="K157" i="1"/>
  <c r="K95" i="1"/>
  <c r="K94" i="1"/>
  <c r="E175" i="1"/>
  <c r="E161" i="1"/>
  <c r="E135" i="1"/>
  <c r="E117" i="1"/>
  <c r="E112" i="1"/>
  <c r="E74" i="1"/>
  <c r="E81" i="1"/>
  <c r="E55" i="1"/>
  <c r="E181" i="1"/>
  <c r="E169" i="1"/>
  <c r="E165" i="1"/>
  <c r="E149" i="1"/>
  <c r="E141" i="1"/>
  <c r="E60" i="1"/>
  <c r="E59" i="1"/>
  <c r="E53" i="1"/>
  <c r="E190" i="1"/>
  <c r="E189" i="1"/>
  <c r="E185" i="1"/>
  <c r="E184" i="1"/>
  <c r="E180" i="1"/>
  <c r="E177" i="1"/>
  <c r="E168" i="1"/>
  <c r="E164" i="1"/>
  <c r="E155" i="1"/>
  <c r="E153" i="1"/>
  <c r="E148" i="1"/>
  <c r="E140" i="1"/>
  <c r="E137" i="1"/>
  <c r="E131" i="1"/>
  <c r="E130" i="1"/>
  <c r="E124" i="1"/>
  <c r="E123" i="1"/>
  <c r="E115" i="1"/>
  <c r="E114" i="1"/>
  <c r="E110" i="1"/>
  <c r="E109" i="1"/>
  <c r="E103" i="1"/>
  <c r="E102" i="1"/>
  <c r="E79" i="1"/>
  <c r="E77" i="1"/>
  <c r="E72" i="1"/>
  <c r="E69" i="1"/>
  <c r="E68" i="1"/>
  <c r="E58" i="1"/>
  <c r="E57" i="1"/>
  <c r="E52" i="1"/>
  <c r="E191" i="1"/>
  <c r="E188" i="1"/>
  <c r="E186" i="1"/>
  <c r="E183" i="1"/>
  <c r="E179" i="1"/>
  <c r="E167" i="1"/>
  <c r="E163" i="1"/>
  <c r="E147" i="1"/>
  <c r="E139" i="1"/>
  <c r="E56" i="1"/>
  <c r="E51" i="1"/>
  <c r="L131" i="1"/>
  <c r="L130" i="1"/>
  <c r="F131" i="1"/>
  <c r="F130" i="1"/>
  <c r="O123" i="1"/>
  <c r="L124" i="1"/>
  <c r="L123" i="1"/>
  <c r="F124" i="1"/>
  <c r="F123" i="1"/>
  <c r="F115" i="1"/>
  <c r="F114" i="1"/>
  <c r="O109" i="1"/>
  <c r="L109" i="1"/>
  <c r="F110" i="1"/>
  <c r="F109" i="1"/>
  <c r="L72" i="1"/>
  <c r="L71" i="1"/>
  <c r="F72" i="1"/>
  <c r="F69" i="1"/>
  <c r="F68" i="1"/>
  <c r="F58" i="1"/>
  <c r="F57" i="1"/>
  <c r="F103" i="1"/>
  <c r="F102" i="1"/>
  <c r="O98" i="1"/>
  <c r="O97" i="1"/>
  <c r="O96" i="1"/>
  <c r="O94" i="1"/>
  <c r="O95" i="1"/>
  <c r="O99" i="1"/>
  <c r="L96" i="1"/>
  <c r="L99" i="1"/>
  <c r="L100" i="1"/>
  <c r="F184" i="1"/>
  <c r="F190" i="1"/>
  <c r="F185" i="1"/>
  <c r="L75" i="1"/>
  <c r="L74" i="1"/>
  <c r="P121" i="1"/>
  <c r="Q119" i="1"/>
  <c r="R102" i="1"/>
  <c r="R49" i="1"/>
  <c r="D23" i="1"/>
  <c r="D28" i="1" s="1"/>
  <c r="D12" i="1"/>
  <c r="D17" i="1" s="1"/>
  <c r="F92" i="1" s="1"/>
  <c r="E31" i="6" l="1"/>
  <c r="E29" i="6"/>
  <c r="E27" i="6"/>
  <c r="D25" i="1"/>
  <c r="L157" i="1" s="1"/>
  <c r="D13" i="1"/>
  <c r="F84" i="1" s="1"/>
  <c r="D16" i="1"/>
  <c r="F90" i="1" s="1"/>
  <c r="D24" i="1"/>
  <c r="L94" i="1" s="1"/>
  <c r="D27" i="1"/>
  <c r="L159" i="1" s="1"/>
  <c r="D14" i="1"/>
  <c r="O79" i="1"/>
  <c r="O77" i="1"/>
  <c r="L158" i="1"/>
  <c r="L98" i="1"/>
  <c r="F189" i="1"/>
  <c r="F180" i="1"/>
  <c r="F177" i="1"/>
  <c r="F168" i="1"/>
  <c r="F175" i="1"/>
  <c r="F161" i="1"/>
  <c r="F164" i="1"/>
  <c r="F135" i="1"/>
  <c r="F155" i="1"/>
  <c r="F153" i="1"/>
  <c r="F148" i="1"/>
  <c r="F140" i="1"/>
  <c r="F137" i="1"/>
  <c r="F117" i="1"/>
  <c r="F112" i="1"/>
  <c r="F74" i="1"/>
  <c r="F79" i="1"/>
  <c r="F77" i="1"/>
  <c r="F52" i="1"/>
  <c r="F51" i="1" l="1"/>
  <c r="F86" i="1"/>
  <c r="F56" i="1"/>
  <c r="F55" i="1"/>
  <c r="F181" i="1"/>
  <c r="F60" i="1"/>
  <c r="F59" i="1"/>
  <c r="F191" i="1"/>
  <c r="F188" i="1"/>
  <c r="F186" i="1"/>
  <c r="F147" i="1"/>
  <c r="L95" i="1"/>
  <c r="L97" i="1"/>
  <c r="F169" i="1"/>
  <c r="F53" i="1"/>
  <c r="F165" i="1"/>
  <c r="F149" i="1"/>
  <c r="F81" i="1"/>
  <c r="F141" i="1"/>
  <c r="F139" i="1"/>
  <c r="F167" i="1"/>
  <c r="F179" i="1"/>
  <c r="F163" i="1"/>
  <c r="F18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<sst xmlns="http://schemas.openxmlformats.org/spreadsheetml/2006/main" count="407" uniqueCount="245">
  <si>
    <t>TEST NO.</t>
  </si>
  <si>
    <t>NAME OF TESTER(S)</t>
  </si>
  <si>
    <t>GENERAL QUESTIONS / COMMENTS</t>
  </si>
  <si>
    <t>COMMENTS / NOTES / ADDITIONS</t>
  </si>
  <si>
    <t>USE CASE</t>
  </si>
  <si>
    <t>TEST DATE</t>
  </si>
  <si>
    <t>STC ID</t>
  </si>
  <si>
    <t>MANUFACTURER NAME</t>
  </si>
  <si>
    <t>APCL_01</t>
  </si>
  <si>
    <t>MESSAGE COMBINATIONS</t>
  </si>
  <si>
    <t>TECHNOLOGY</t>
  </si>
  <si>
    <t>APCL_DUR_01</t>
  </si>
  <si>
    <t>APCL_DUR_02</t>
  </si>
  <si>
    <t>FCAPL_DUR_01</t>
  </si>
  <si>
    <t>FCAPL_DUR_02</t>
  </si>
  <si>
    <t>APCL_02</t>
  </si>
  <si>
    <t>FCAPL_01</t>
  </si>
  <si>
    <t>FCAPL_02</t>
  </si>
  <si>
    <t>APCL_03</t>
  </si>
  <si>
    <t>APCL_04</t>
  </si>
  <si>
    <t>APCL_05</t>
  </si>
  <si>
    <t>FCAPL_03</t>
  </si>
  <si>
    <t>FCAPL_04</t>
  </si>
  <si>
    <t>FCAPL_05</t>
  </si>
  <si>
    <t>FCAPL_DUR_03</t>
  </si>
  <si>
    <r>
      <t>APCL</t>
    </r>
    <r>
      <rPr>
        <b/>
        <vertAlign val="subscript"/>
        <sz val="10"/>
        <color theme="0"/>
        <rFont val="Century Gothic"/>
        <family val="2"/>
      </rPr>
      <t>min</t>
    </r>
  </si>
  <si>
    <r>
      <t>APCL</t>
    </r>
    <r>
      <rPr>
        <b/>
        <vertAlign val="subscript"/>
        <sz val="10"/>
        <color theme="0"/>
        <rFont val="Century Gothic"/>
        <family val="2"/>
      </rPr>
      <t>max</t>
    </r>
  </si>
  <si>
    <t>PFCAPL</t>
  </si>
  <si>
    <t>MFSDM</t>
  </si>
  <si>
    <t>PFSDM</t>
  </si>
  <si>
    <r>
      <t>FCAPL</t>
    </r>
    <r>
      <rPr>
        <b/>
        <vertAlign val="subscript"/>
        <sz val="10"/>
        <color theme="0"/>
        <rFont val="Century Gothic"/>
        <family val="2"/>
      </rPr>
      <t>min</t>
    </r>
  </si>
  <si>
    <r>
      <t>FCAPL</t>
    </r>
    <r>
      <rPr>
        <b/>
        <vertAlign val="subscript"/>
        <sz val="10"/>
        <color theme="0"/>
        <rFont val="Century Gothic"/>
        <family val="2"/>
      </rPr>
      <t>max</t>
    </r>
  </si>
  <si>
    <t>TEST VERDICT</t>
  </si>
  <si>
    <t>ATC_COM_PT_EGMessages_001</t>
  </si>
  <si>
    <t>MSG_14</t>
  </si>
  <si>
    <t>ATC_COM_PT_EGMessages_002</t>
  </si>
  <si>
    <t>ATC_COM_NT_CSConnection_001</t>
  </si>
  <si>
    <t>MSG_16</t>
  </si>
  <si>
    <t>ATC_COM_PT_CSConnection_002</t>
  </si>
  <si>
    <t>ATC_COM_PT_CSConnection_003</t>
  </si>
  <si>
    <t>APCL_06</t>
  </si>
  <si>
    <t>FCAPL_06</t>
  </si>
  <si>
    <t>ATC_COM_PT_CSConnection_004</t>
  </si>
  <si>
    <t>ATC_COM_PT_CSConnection_005</t>
  </si>
  <si>
    <t>ATC_COM_PT_CSConnection_007</t>
  </si>
  <si>
    <t>ATC_COM_PT_CSConnection_006</t>
  </si>
  <si>
    <t>ATC_COM_PT_CSInit_003</t>
  </si>
  <si>
    <t>ATC_COM_NT_CSLimited_001</t>
  </si>
  <si>
    <t>ATC_COM_PT_CSLimited_002</t>
  </si>
  <si>
    <t>ATC_COM_NT_CSUnlCntrl_001</t>
  </si>
  <si>
    <t>ATC_COM_PT_CSFS_001</t>
  </si>
  <si>
    <t>ATC_COM_PT_CSFS_003</t>
  </si>
  <si>
    <t>ATC_COM_NT_CSUnlAuto_001</t>
  </si>
  <si>
    <t>ATC_COM_PT_CSTransition1_001</t>
  </si>
  <si>
    <t>ATC_COM_PT_CSTransition1_002</t>
  </si>
  <si>
    <t>ATC_COM_PT_CSTransition2_001</t>
  </si>
  <si>
    <t>MSG_15</t>
  </si>
  <si>
    <t>ATC_COM_PT_CSTransition4_001</t>
  </si>
  <si>
    <t>ATC_COM_PT_CSTransition6_001</t>
  </si>
  <si>
    <t>ATC_COM_PT_CSTransition6_002</t>
  </si>
  <si>
    <t>ATC_COM_PT_CSTransition7_001</t>
  </si>
  <si>
    <t>ATC_COM_PT_CSTransition8_001</t>
  </si>
  <si>
    <t>ATC_COM_PT_CSTransition8_002</t>
  </si>
  <si>
    <t>ATC_COM_PT_CSTransition9_001</t>
  </si>
  <si>
    <t>ATC_COM_PT_CSTransition11_001</t>
  </si>
  <si>
    <t>ATC_COM_PT_CSTransition11_002</t>
  </si>
  <si>
    <t>ATC_COM_PT_CSTransition12_001</t>
  </si>
  <si>
    <t>ATC_INS1_PT_CSTransition1_001</t>
  </si>
  <si>
    <t>ATC_INS2_PT_CSTransition1_001</t>
  </si>
  <si>
    <t>APCL USED IN
TEST STEP</t>
  </si>
  <si>
    <t>FCAPL USED IN
TEST STEP</t>
  </si>
  <si>
    <t>FAILSAFE DURATION MINIMUM USED IN
TEST STEP</t>
  </si>
  <si>
    <t>1.1</t>
  </si>
  <si>
    <t>1.2</t>
  </si>
  <si>
    <t>2.1</t>
  </si>
  <si>
    <t>2.2</t>
  </si>
  <si>
    <t>delete</t>
  </si>
  <si>
    <t>e.g. SPINE</t>
  </si>
  <si>
    <t>DEVICE TYPE</t>
  </si>
  <si>
    <t>ATC_COM_PT_EGHeartbeat_001</t>
  </si>
  <si>
    <t>ATC_COM_PT_EGConnection_001</t>
  </si>
  <si>
    <t>ATC_COM_PT_EGConnection_002</t>
  </si>
  <si>
    <t>ATC_COM_PT_EGConnection_003</t>
  </si>
  <si>
    <t>ATC_COM_PT_EGMessages_003</t>
  </si>
  <si>
    <t>ATC_COM_PT_CSHeartbeat_001</t>
  </si>
  <si>
    <t>ATC_COM_PT_CSConnection_008</t>
  </si>
  <si>
    <t>ATC_COM_PT_CSInit_001</t>
  </si>
  <si>
    <t>ATC_COM_PT_CSInit_002</t>
  </si>
  <si>
    <t>ATC_COM_PT_CSFS_002</t>
  </si>
  <si>
    <t>ATC_COM_PT_CSUnlAuto_002</t>
  </si>
  <si>
    <t>ATC_COM_PT_CSTransition3_001</t>
  </si>
  <si>
    <t>ATC_COM_PT_CSTransition3_002</t>
  </si>
  <si>
    <t>ATC_COM_PT_CSTransition5_001</t>
  </si>
  <si>
    <t>ATC_COM_PT_CSTransition10_001</t>
  </si>
  <si>
    <t>ATC_COM_PT_CSTransition10_002</t>
  </si>
  <si>
    <t>StartUpDur_EG</t>
  </si>
  <si>
    <t>StartUpDur_CS</t>
  </si>
  <si>
    <t>ACTIVE POWER CONSUMPTION LIMIT [Watt]</t>
  </si>
  <si>
    <t>FAILSAFE CONSUMPTION ACTIVE POWER LIMIT [Watt]</t>
  </si>
  <si>
    <r>
      <t xml:space="preserve">0 </t>
    </r>
    <r>
      <rPr>
        <sz val="10"/>
        <rFont val="Calibri"/>
        <family val="2"/>
      </rPr>
      <t>≤</t>
    </r>
    <r>
      <rPr>
        <i/>
        <sz val="10"/>
        <rFont val="Century Gothic"/>
        <family val="2"/>
      </rPr>
      <t xml:space="preserve"> APCL_01 &lt; APCL_02 &lt; APCL_03 &lt; APCL_04 &lt; APCL_05</t>
    </r>
  </si>
  <si>
    <t>0 ≤ APCL_min &lt; APCL_max</t>
  </si>
  <si>
    <t>0 ≤ PFCAPL</t>
  </si>
  <si>
    <t>0 ≤ FCAPL_min &lt; FCAPL_max</t>
  </si>
  <si>
    <t>0 ≤ FCAPL_01 &lt; FCAPL_02 &lt; FCAPL_03 &lt; FCAPL_04 &lt; FCAPL_05</t>
  </si>
  <si>
    <t>1h54m</t>
  </si>
  <si>
    <t>PFSDM &lt; FCAPL_DUR_02 &lt; MFSDM</t>
  </si>
  <si>
    <t>2h ≤ PFSDM &lt; MFSDM</t>
  </si>
  <si>
    <t>1.05 * MFSDM</t>
  </si>
  <si>
    <t>delta</t>
  </si>
  <si>
    <t>CONSTRAINTS</t>
  </si>
  <si>
    <t>POWER CONSUMPTION NOMINAL MAX [Watt]</t>
  </si>
  <si>
    <t>Value</t>
  </si>
  <si>
    <t>ATC_COM_PT_EGMessages_004</t>
  </si>
  <si>
    <t>CONTRACTUAL CONSUMPTION NOMINAL MAX [Watt]</t>
  </si>
  <si>
    <t>A1</t>
  </si>
  <si>
    <t>A2</t>
  </si>
  <si>
    <t>A3</t>
  </si>
  <si>
    <t>A4</t>
  </si>
  <si>
    <t>A5</t>
  </si>
  <si>
    <t>A6</t>
  </si>
  <si>
    <t>read Power Consumption Nominal Max</t>
  </si>
  <si>
    <t>read Contractual Consumption Nominal Max</t>
  </si>
  <si>
    <t>B1</t>
  </si>
  <si>
    <t>B2</t>
  </si>
  <si>
    <t>B3</t>
  </si>
  <si>
    <t>C1</t>
  </si>
  <si>
    <t>C2</t>
  </si>
  <si>
    <t>C3</t>
  </si>
  <si>
    <t>D1</t>
  </si>
  <si>
    <t>D2</t>
  </si>
  <si>
    <t>Supplementary optional verifications</t>
  </si>
  <si>
    <t>M1</t>
  </si>
  <si>
    <t>N1</t>
  </si>
  <si>
    <t>PARAMETER SHEET - COMMENTS</t>
  </si>
  <si>
    <t>PARAMETER SHEET - OPTIONAL SUPPORT</t>
  </si>
  <si>
    <t>Manufacturer statements on the support of optional protocol functionality.</t>
  </si>
  <si>
    <t>NO.</t>
  </si>
  <si>
    <t>ACTOR</t>
  </si>
  <si>
    <t>FUNCTIONALITY</t>
  </si>
  <si>
    <t>SCENARIO</t>
  </si>
  <si>
    <t>FAILSAFE CONSUMPTION ACTIVE POWER LIMIT - FCAPL [Watt]</t>
  </si>
  <si>
    <t>ACTIVE POWER CONSUMPTION LIMIT -
APCL [Watt]</t>
  </si>
  <si>
    <t>MANDATORY ATC TO
VERIFY STATEMENT</t>
  </si>
  <si>
    <t>Energy Guard</t>
  </si>
  <si>
    <t>Controllable System at any LPC instance</t>
  </si>
  <si>
    <t>Controllable System at "LPC instance 1"</t>
  </si>
  <si>
    <t>Controllable System at "LPC instance 2"</t>
  </si>
  <si>
    <t>read/write APCL (value, activation flag, duration)</t>
  </si>
  <si>
    <t>read/write FCAPL and Failsafe Duration Minimum</t>
  </si>
  <si>
    <t>quick resend write APCL if previous write APCL was rejected</t>
  </si>
  <si>
    <t>ongoing adjustment of CS' limit parameters</t>
  </si>
  <si>
    <t>1, 2</t>
  </si>
  <si>
    <t>no report of Power Consumption Nominal Max</t>
  </si>
  <si>
    <t>permitted rejection of received APCL write command</t>
  </si>
  <si>
    <t>auto-adjust too large received APCL</t>
  </si>
  <si>
    <t>state "unlimited/autonomous" implemented</t>
  </si>
  <si>
    <t>1, 2, 3</t>
  </si>
  <si>
    <t>ATC_COM_PT_EGMessages_003, ATC_COM_PT_EGMessages_004</t>
  </si>
  <si>
    <t>ATC_COM_NT_CSUnlAuto_001, ATC_COM_PT_CSTransition3_001, ATC_COM_PT_CSTransition3_002, ATC_COM_PT_CSTransition10_001, ATC_COM_PT_CSTransition10_002, ATC_COM_PT_CSTransition11_001, ATC_COM_PT_CSTransition11_002, ATC_COM_PT_CSTransition12_001</t>
  </si>
  <si>
    <t>-</t>
  </si>
  <si>
    <t>COMMENTS</t>
  </si>
  <si>
    <t>limit consumption according to Contractual Consumption Nominal Max</t>
  </si>
  <si>
    <t>limit consumption according to Power Consumption Nominal Max</t>
  </si>
  <si>
    <t>ATC_COM_NT_CSUnlAuto_002</t>
  </si>
  <si>
    <t>Note: only works in conjunction with N1 and requires B1</t>
  </si>
  <si>
    <t>Note: only works in conjunction with M1 and requires C1</t>
  </si>
  <si>
    <t>Note: only works in conjunction with B2</t>
  </si>
  <si>
    <t>Note: only works in conjunction with B1</t>
  </si>
  <si>
    <t>Note: only works in conjunction with C2</t>
  </si>
  <si>
    <t>Note: only works in conjunction with C1</t>
  </si>
  <si>
    <t>SUPPORTED?
[Yes/No]</t>
  </si>
  <si>
    <t>Legend</t>
  </si>
  <si>
    <t>Get value of "X" of the other actor.</t>
  </si>
  <si>
    <t>The actor owning "X" sends the value of "X" to the other actor.</t>
  </si>
  <si>
    <t>read "X"</t>
  </si>
  <si>
    <t>write "X"</t>
  </si>
  <si>
    <t>report "X"</t>
  </si>
  <si>
    <t>Set new/changed value of "X" of the other actor or delete "X".</t>
  </si>
  <si>
    <t>0 &lt; Power Consumption Nominal Max</t>
  </si>
  <si>
    <t>0 &lt; Contractual Consumption Nominal Max</t>
  </si>
  <si>
    <t>PARAMETER SHEET - LEGEND</t>
  </si>
  <si>
    <t>PARAMETER SHEET - SPECIFIC TEST CASES</t>
  </si>
  <si>
    <t>Specific Test Cases</t>
  </si>
  <si>
    <t>Greyed-out cells are filled in automatically.</t>
  </si>
  <si>
    <r>
      <t>The cell background in which the values for APCL</t>
    </r>
    <r>
      <rPr>
        <vertAlign val="subscript"/>
        <sz val="10"/>
        <color theme="1"/>
        <rFont val="Century Gothic"/>
        <family val="2"/>
      </rPr>
      <t xml:space="preserve">max </t>
    </r>
    <r>
      <rPr>
        <sz val="10"/>
        <color theme="1"/>
        <rFont val="Century Gothic"/>
        <family val="1"/>
      </rPr>
      <t>and FCAPL</t>
    </r>
    <r>
      <rPr>
        <vertAlign val="subscript"/>
        <sz val="10"/>
        <color theme="1"/>
        <rFont val="Century Gothic"/>
        <family val="2"/>
      </rPr>
      <t>max</t>
    </r>
    <r>
      <rPr>
        <sz val="10"/>
        <color theme="1"/>
        <rFont val="Century Gothic"/>
        <family val="1"/>
      </rPr>
      <t xml:space="preserve"> are entered turns red for visual support when entering wrong values or values in a wrong range. In addition, the cell of the calculated delta is coloured red in this case. </t>
    </r>
  </si>
  <si>
    <t>Passed</t>
  </si>
  <si>
    <t>Failed</t>
  </si>
  <si>
    <t>Not applicable</t>
  </si>
  <si>
    <t>Test verdict</t>
  </si>
  <si>
    <t>VERIFY?
[Yes/No]</t>
  </si>
  <si>
    <t>Optional Support</t>
  </si>
  <si>
    <t>Supported/Verify?
[Yes/No]</t>
  </si>
  <si>
    <t>Cells with a white background need to be manually filled in with device specific information or information taken from the test specification.</t>
  </si>
  <si>
    <t>Formatting rules</t>
  </si>
  <si>
    <t>Version</t>
  </si>
  <si>
    <t>Revisions</t>
  </si>
  <si>
    <t>Date/Editor</t>
  </si>
  <si>
    <t>According to the chosen test verdict its background is colorized. [PASSED/FAILED/NOT APPLICABLE]</t>
  </si>
  <si>
    <t>Use the drop-down menu to select whether the corresponding ATCs are also to be tested. These ATCs are then to be tested with defined data as STCs. [YES/NO]</t>
  </si>
  <si>
    <t>black start</t>
  </si>
  <si>
    <t>E1</t>
  </si>
  <si>
    <t>E2</t>
  </si>
  <si>
    <t>ATC_COM_PT_CSConnection_009</t>
  </si>
  <si>
    <t>STARTUP DURATION [seconds]</t>
  </si>
  <si>
    <t>ACTIVE POWER CONSUMPTION LIMIT DURATION [seconds]</t>
  </si>
  <si>
    <t>FAILSAFE DURATION MINIMUM
[h[m[s]]]</t>
  </si>
  <si>
    <t>FAILSAFE DURATION MINIMUM [h[m[s]]]</t>
  </si>
  <si>
    <t>3.1</t>
  </si>
  <si>
    <t>3.2</t>
  </si>
  <si>
    <t>4.1</t>
  </si>
  <si>
    <t>4.2</t>
  </si>
  <si>
    <t>5.1</t>
  </si>
  <si>
    <t>5.2</t>
  </si>
  <si>
    <t>CS type CEM?</t>
  </si>
  <si>
    <t>ATC_COM_PT_CSUnlCntrl_002</t>
  </si>
  <si>
    <t>ATC_COM_PT_CSUnlCntrl_003</t>
  </si>
  <si>
    <t>report of Power Consumption Nominal Max</t>
  </si>
  <si>
    <t>no report of Contractual Consumption Nominal Max</t>
  </si>
  <si>
    <t>report of Contractual Consumption Nominal Max</t>
  </si>
  <si>
    <t xml:space="preserve">V1.0.0 </t>
  </si>
  <si>
    <t>2024-06-10 - SH</t>
  </si>
  <si>
    <t>PARAMETER SHEET - REPORT</t>
  </si>
  <si>
    <t>Overall Status</t>
  </si>
  <si>
    <t>Not applicable percentace</t>
  </si>
  <si>
    <t>Passed percentace</t>
  </si>
  <si>
    <t>Test cycle duration</t>
  </si>
  <si>
    <t>Approval</t>
  </si>
  <si>
    <t>Approved by</t>
  </si>
  <si>
    <t>Date</t>
  </si>
  <si>
    <t>Signature</t>
  </si>
  <si>
    <t>Failed percentage</t>
  </si>
  <si>
    <t>Execution Status</t>
  </si>
  <si>
    <t xml:space="preserve"> </t>
  </si>
  <si>
    <t>Number of ATCs</t>
  </si>
  <si>
    <t>Number of ATCs for the EG</t>
  </si>
  <si>
    <t>Number of ATCs for the CS</t>
  </si>
  <si>
    <t>Number of STCs</t>
  </si>
  <si>
    <t>Number of STCs for the EG</t>
  </si>
  <si>
    <t>Number of STCs for the CS</t>
  </si>
  <si>
    <t>Number of STCs executed</t>
  </si>
  <si>
    <t>Number of passed STCs</t>
  </si>
  <si>
    <t>Number of failed STCs</t>
  </si>
  <si>
    <t>Number of not applicable STCs</t>
  </si>
  <si>
    <t>MODEL</t>
  </si>
  <si>
    <t>LPC 1.0.0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</si>
</sst>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1" x14ac:knownFonts="1">
    <font>
      <sz val="10"/>
      <color rgb="FF000000"/>
      <name val="Arial"/>
    </font>
    <font>
      <sz val="10"/>
      <name val="Arial"/>
      <family val="2"/>
    </font>
    <font>
      <sz val="12"/>
      <color rgb="FF000000"/>
      <name val="Calibri"/>
      <family val="2"/>
    </font>
    <font>
      <sz val="8"/>
      <name val="Arial"/>
      <family val="2"/>
    </font>
    <font>
      <sz val="22"/>
      <color theme="1"/>
      <name val="Arial"/>
      <family val="2"/>
    </font>
    <font>
      <b/>
      <sz val="20"/>
      <color theme="0" tint="-0.34998626667073579"/>
      <name val="Century Gothic"/>
      <family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9"/>
      <color theme="1"/>
      <name val="Century Gothic"/>
      <family val="1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b/>
      <vertAlign val="subscript"/>
      <sz val="10"/>
      <color theme="0"/>
      <name val="Century Gothic"/>
      <family val="2"/>
    </font>
    <font>
      <sz val="10"/>
      <name val="Century Gothic"/>
      <family val="2"/>
    </font>
    <font>
      <i/>
      <sz val="10"/>
      <name val="Century Gothic"/>
      <family val="2"/>
    </font>
    <font>
      <sz val="10"/>
      <name val="Calibri"/>
      <family val="2"/>
    </font>
    <font>
      <sz val="10"/>
      <color rgb="FFFF0000"/>
      <name val="Century Gothic"/>
      <family val="1"/>
    </font>
    <font>
      <b/>
      <sz val="10"/>
      <color theme="0"/>
      <name val="Century Gothic"/>
      <family val="2"/>
    </font>
    <font>
      <b/>
      <sz val="11"/>
      <color theme="0"/>
      <name val="Century Gothic"/>
      <family val="1"/>
    </font>
    <font>
      <strike/>
      <sz val="10"/>
      <color rgb="FF000000"/>
      <name val="Century Gothic"/>
      <family val="2"/>
    </font>
    <font>
      <strike/>
      <sz val="10"/>
      <color rgb="FF000000"/>
      <name val="Century Gothic"/>
      <family val="1"/>
    </font>
    <font>
      <vertAlign val="subscript"/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  <font>
      <sz val="10"/>
      <color rgb="FF000000"/>
      <name val="Calibri"/>
      <family val="2"/>
    </font>
    <font>
      <sz val="10"/>
      <name val="Century Gothic"/>
      <family val="1"/>
    </font>
    <font>
      <sz val="10"/>
      <color theme="1"/>
      <name val="Century Gothic"/>
      <family val="2"/>
    </font>
    <font>
      <b/>
      <sz val="10"/>
      <color theme="1"/>
      <name val="Century Gothic"/>
      <family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medium">
        <color theme="0" tint="-0.249977111117893"/>
      </top>
      <bottom style="thin">
        <color theme="0" tint="-0.249977111117893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</cellStyleXfs>
  <cellXfs count="214">
    <xf numFmtId="0" fontId="0" fillId="0" borderId="0" xfId="0"/>
    <xf numFmtId="0" fontId="1" fillId="0" borderId="0" xfId="0" applyFont="1"/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3" fillId="7" borderId="6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3" fillId="7" borderId="1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vertical="center"/>
    </xf>
    <xf numFmtId="0" fontId="15" fillId="2" borderId="8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9" borderId="8" xfId="0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 wrapText="1"/>
    </xf>
    <xf numFmtId="0" fontId="13" fillId="5" borderId="10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13" fillId="2" borderId="0" xfId="0" applyFont="1" applyFill="1" applyAlignment="1">
      <alignment vertical="center" wrapText="1"/>
    </xf>
    <xf numFmtId="0" fontId="10" fillId="2" borderId="0" xfId="0" applyFont="1" applyFill="1"/>
    <xf numFmtId="0" fontId="0" fillId="2" borderId="0" xfId="0" applyFill="1"/>
    <xf numFmtId="0" fontId="9" fillId="2" borderId="16" xfId="0" applyFont="1" applyFill="1" applyBorder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1" fillId="2" borderId="0" xfId="0" applyFont="1" applyFill="1"/>
    <xf numFmtId="0" fontId="2" fillId="2" borderId="0" xfId="0" applyFont="1" applyFill="1"/>
    <xf numFmtId="0" fontId="9" fillId="2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left" vertical="center" wrapText="1" indent="1"/>
    </xf>
    <xf numFmtId="0" fontId="9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10" borderId="4" xfId="0" applyFont="1" applyFill="1" applyBorder="1" applyAlignment="1">
      <alignment vertical="center" wrapText="1"/>
    </xf>
    <xf numFmtId="0" fontId="18" fillId="10" borderId="8" xfId="0" applyFont="1" applyFill="1" applyBorder="1" applyAlignment="1">
      <alignment horizontal="left" vertical="center"/>
    </xf>
    <xf numFmtId="0" fontId="9" fillId="10" borderId="5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 wrapText="1" indent="1"/>
    </xf>
    <xf numFmtId="0" fontId="9" fillId="10" borderId="1" xfId="0" applyFont="1" applyFill="1" applyBorder="1" applyAlignment="1">
      <alignment horizontal="center" vertical="center" wrapText="1"/>
    </xf>
    <xf numFmtId="164" fontId="9" fillId="10" borderId="4" xfId="0" applyNumberFormat="1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9" fillId="10" borderId="11" xfId="0" applyFont="1" applyFill="1" applyBorder="1" applyAlignment="1">
      <alignment horizontal="center" vertical="center" wrapText="1"/>
    </xf>
    <xf numFmtId="49" fontId="9" fillId="10" borderId="4" xfId="0" applyNumberFormat="1" applyFont="1" applyFill="1" applyBorder="1" applyAlignment="1">
      <alignment horizontal="center" vertical="center" wrapText="1"/>
    </xf>
    <xf numFmtId="20" fontId="9" fillId="10" borderId="4" xfId="0" applyNumberFormat="1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9" fillId="10" borderId="1" xfId="0" quotePrefix="1" applyFont="1" applyFill="1" applyBorder="1" applyAlignment="1">
      <alignment horizontal="left" vertical="center" wrapText="1" indent="1"/>
    </xf>
    <xf numFmtId="0" fontId="12" fillId="2" borderId="4" xfId="0" applyFont="1" applyFill="1" applyBorder="1" applyAlignment="1">
      <alignment horizontal="left" vertical="center" wrapText="1" indent="1"/>
    </xf>
    <xf numFmtId="0" fontId="9" fillId="2" borderId="0" xfId="0" quotePrefix="1" applyFont="1" applyFill="1" applyAlignment="1">
      <alignment horizontal="left" vertical="center" wrapText="1" indent="1"/>
    </xf>
    <xf numFmtId="0" fontId="9" fillId="2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left" vertical="center" wrapText="1"/>
    </xf>
    <xf numFmtId="0" fontId="10" fillId="2" borderId="4" xfId="0" applyFont="1" applyFill="1" applyBorder="1" applyAlignment="1">
      <alignment vertical="center" wrapText="1"/>
    </xf>
    <xf numFmtId="0" fontId="10" fillId="11" borderId="5" xfId="0" applyFont="1" applyFill="1" applyBorder="1" applyAlignment="1">
      <alignment vertical="center" wrapText="1"/>
    </xf>
    <xf numFmtId="0" fontId="10" fillId="13" borderId="5" xfId="0" applyFont="1" applyFill="1" applyBorder="1" applyAlignment="1">
      <alignment vertical="center" wrapText="1"/>
    </xf>
    <xf numFmtId="0" fontId="10" fillId="12" borderId="5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9" fillId="10" borderId="1" xfId="0" quotePrefix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49" fontId="9" fillId="10" borderId="1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10" borderId="1" xfId="0" applyFont="1" applyFill="1" applyBorder="1" applyAlignment="1">
      <alignment horizontal="center" vertical="center" wrapText="1"/>
    </xf>
    <xf numFmtId="0" fontId="26" fillId="10" borderId="7" xfId="0" applyFont="1" applyFill="1" applyBorder="1" applyAlignment="1">
      <alignment horizontal="center" vertical="center" wrapText="1"/>
    </xf>
    <xf numFmtId="0" fontId="26" fillId="10" borderId="11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10" borderId="4" xfId="0" applyFont="1" applyFill="1" applyBorder="1" applyAlignment="1">
      <alignment horizontal="center" vertical="center" wrapText="1"/>
    </xf>
    <xf numFmtId="20" fontId="26" fillId="10" borderId="4" xfId="0" applyNumberFormat="1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center" vertical="center"/>
    </xf>
    <xf numFmtId="0" fontId="25" fillId="2" borderId="0" xfId="0" applyFont="1" applyFill="1"/>
    <xf numFmtId="0" fontId="25" fillId="0" borderId="0" xfId="0" applyFont="1"/>
    <xf numFmtId="0" fontId="27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7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10" borderId="7" xfId="0" applyFont="1" applyFill="1" applyBorder="1" applyAlignment="1">
      <alignment horizontal="center" vertical="center" wrapText="1"/>
    </xf>
    <xf numFmtId="49" fontId="10" fillId="10" borderId="1" xfId="0" applyNumberFormat="1" applyFont="1" applyFill="1" applyBorder="1" applyAlignment="1">
      <alignment horizontal="center" vertical="center" wrapText="1"/>
    </xf>
    <xf numFmtId="49" fontId="29" fillId="10" borderId="1" xfId="0" applyNumberFormat="1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10" borderId="7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29" fillId="10" borderId="1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0" fontId="5" fillId="2" borderId="0" xfId="0" quotePrefix="1" applyFont="1" applyFill="1" applyAlignment="1">
      <alignment horizontal="left" vertical="center"/>
    </xf>
    <xf numFmtId="14" fontId="10" fillId="2" borderId="1" xfId="0" applyNumberFormat="1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right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vertical="top"/>
    </xf>
    <xf numFmtId="0" fontId="29" fillId="10" borderId="5" xfId="0" applyFont="1" applyFill="1" applyBorder="1" applyAlignment="1">
      <alignment horizontal="center" vertical="center" wrapText="1"/>
    </xf>
    <xf numFmtId="9" fontId="29" fillId="10" borderId="9" xfId="0" applyNumberFormat="1" applyFont="1" applyFill="1" applyBorder="1" applyAlignment="1">
      <alignment horizontal="center" vertical="center" wrapText="1"/>
    </xf>
    <xf numFmtId="0" fontId="29" fillId="10" borderId="5" xfId="0" quotePrefix="1" applyFont="1" applyFill="1" applyBorder="1" applyAlignment="1">
      <alignment horizontal="center" vertical="center" wrapText="1"/>
    </xf>
    <xf numFmtId="0" fontId="19" fillId="6" borderId="16" xfId="0" applyFont="1" applyFill="1" applyBorder="1" applyAlignment="1">
      <alignment vertical="center" wrapText="1"/>
    </xf>
    <xf numFmtId="0" fontId="19" fillId="6" borderId="11" xfId="0" applyFont="1" applyFill="1" applyBorder="1" applyAlignment="1">
      <alignment horizontal="right" vertical="center" wrapText="1" indent="1"/>
    </xf>
    <xf numFmtId="0" fontId="19" fillId="6" borderId="16" xfId="0" applyFont="1" applyFill="1" applyBorder="1" applyAlignment="1">
      <alignment horizontal="right" vertical="center" wrapText="1" indent="1"/>
    </xf>
    <xf numFmtId="0" fontId="5" fillId="2" borderId="0" xfId="0" quotePrefix="1" applyFont="1" applyFill="1" applyAlignment="1">
      <alignment horizontal="left" vertical="center" wrapText="1"/>
    </xf>
    <xf numFmtId="49" fontId="9" fillId="2" borderId="3" xfId="0" applyNumberFormat="1" applyFont="1" applyFill="1" applyBorder="1" applyAlignment="1">
      <alignment horizontal="center" vertical="center"/>
    </xf>
    <xf numFmtId="49" fontId="9" fillId="2" borderId="12" xfId="0" applyNumberFormat="1" applyFont="1" applyFill="1" applyBorder="1" applyAlignment="1">
      <alignment horizontal="center" vertical="center"/>
    </xf>
    <xf numFmtId="49" fontId="9" fillId="2" borderId="15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 wrapText="1"/>
    </xf>
    <xf numFmtId="49" fontId="9" fillId="2" borderId="12" xfId="0" applyNumberFormat="1" applyFont="1" applyFill="1" applyBorder="1" applyAlignment="1">
      <alignment horizontal="center" vertical="center" wrapText="1"/>
    </xf>
    <xf numFmtId="49" fontId="9" fillId="2" borderId="15" xfId="0" applyNumberFormat="1" applyFont="1" applyFill="1" applyBorder="1" applyAlignment="1">
      <alignment horizontal="center" vertical="center" wrapText="1"/>
    </xf>
    <xf numFmtId="0" fontId="30" fillId="2" borderId="17" xfId="0" applyFont="1" applyFill="1" applyBorder="1" applyAlignment="1">
      <alignment horizontal="left" vertical="center"/>
    </xf>
    <xf numFmtId="0" fontId="19" fillId="6" borderId="8" xfId="0" applyFont="1" applyFill="1" applyBorder="1" applyAlignment="1">
      <alignment horizontal="right" vertical="center" wrapText="1" indent="1"/>
    </xf>
    <xf numFmtId="0" fontId="19" fillId="6" borderId="5" xfId="0" applyFont="1" applyFill="1" applyBorder="1" applyAlignment="1">
      <alignment horizontal="right" vertical="center" wrapText="1" inden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13" fillId="6" borderId="4" xfId="0" applyFont="1" applyFill="1" applyBorder="1" applyAlignment="1">
      <alignment horizontal="left" vertical="center" wrapText="1"/>
    </xf>
    <xf numFmtId="0" fontId="13" fillId="6" borderId="8" xfId="0" applyFont="1" applyFill="1" applyBorder="1" applyAlignment="1">
      <alignment horizontal="left" vertical="center" wrapText="1"/>
    </xf>
    <xf numFmtId="0" fontId="13" fillId="6" borderId="5" xfId="0" applyFont="1" applyFill="1" applyBorder="1" applyAlignment="1">
      <alignment horizontal="left" vertical="center" wrapText="1"/>
    </xf>
    <xf numFmtId="0" fontId="19" fillId="6" borderId="4" xfId="0" applyFont="1" applyFill="1" applyBorder="1" applyAlignment="1">
      <alignment horizontal="right" vertical="center" wrapText="1" indent="1"/>
    </xf>
    <xf numFmtId="0" fontId="19" fillId="6" borderId="13" xfId="0" applyFont="1" applyFill="1" applyBorder="1" applyAlignment="1">
      <alignment horizontal="right" vertical="center" wrapText="1" indent="1"/>
    </xf>
    <xf numFmtId="49" fontId="29" fillId="2" borderId="4" xfId="0" applyNumberFormat="1" applyFont="1" applyFill="1" applyBorder="1" applyAlignment="1">
      <alignment horizontal="center" vertical="center" wrapText="1"/>
    </xf>
    <xf numFmtId="49" fontId="29" fillId="2" borderId="5" xfId="0" applyNumberFormat="1" applyFont="1" applyFill="1" applyBorder="1" applyAlignment="1">
      <alignment horizontal="center" vertical="center" wrapText="1"/>
    </xf>
    <xf numFmtId="14" fontId="29" fillId="2" borderId="4" xfId="0" applyNumberFormat="1" applyFont="1" applyFill="1" applyBorder="1" applyAlignment="1">
      <alignment horizontal="center" vertical="center" wrapText="1"/>
    </xf>
    <xf numFmtId="14" fontId="29" fillId="2" borderId="5" xfId="0" applyNumberFormat="1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left" vertical="center"/>
    </xf>
    <xf numFmtId="0" fontId="19" fillId="6" borderId="11" xfId="0" applyFont="1" applyFill="1" applyBorder="1" applyAlignment="1">
      <alignment horizontal="right" vertical="center" wrapText="1" indent="1"/>
    </xf>
    <xf numFmtId="0" fontId="19" fillId="6" borderId="2" xfId="0" applyFont="1" applyFill="1" applyBorder="1" applyAlignment="1">
      <alignment horizontal="right" vertical="center" wrapText="1" indent="1"/>
    </xf>
    <xf numFmtId="0" fontId="19" fillId="6" borderId="9" xfId="0" applyFont="1" applyFill="1" applyBorder="1" applyAlignment="1">
      <alignment horizontal="right" vertical="center" wrapText="1" indent="1"/>
    </xf>
    <xf numFmtId="0" fontId="13" fillId="7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3" fillId="9" borderId="8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13" fillId="7" borderId="13" xfId="0" applyFont="1" applyFill="1" applyBorder="1" applyAlignment="1">
      <alignment horizontal="center" vertical="center" wrapText="1"/>
    </xf>
    <xf numFmtId="0" fontId="13" fillId="7" borderId="14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left" vertical="center" wrapText="1"/>
    </xf>
    <xf numFmtId="0" fontId="13" fillId="7" borderId="8" xfId="0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center" vertical="center" wrapText="1"/>
    </xf>
    <xf numFmtId="0" fontId="13" fillId="6" borderId="14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left" vertical="center" wrapText="1"/>
    </xf>
    <xf numFmtId="0" fontId="13" fillId="5" borderId="8" xfId="0" applyFont="1" applyFill="1" applyBorder="1" applyAlignment="1">
      <alignment horizontal="left" vertical="center" wrapText="1"/>
    </xf>
    <xf numFmtId="0" fontId="13" fillId="5" borderId="5" xfId="0" applyFont="1" applyFill="1" applyBorder="1" applyAlignment="1">
      <alignment horizontal="left" vertical="center" wrapText="1"/>
    </xf>
    <xf numFmtId="49" fontId="15" fillId="2" borderId="5" xfId="0" applyNumberFormat="1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2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28" fillId="3" borderId="11" xfId="0" applyFont="1" applyFill="1" applyBorder="1" applyAlignment="1">
      <alignment horizontal="left" vertical="center" wrapText="1"/>
    </xf>
    <xf numFmtId="0" fontId="28" fillId="3" borderId="2" xfId="0" applyFont="1" applyFill="1" applyBorder="1" applyAlignment="1">
      <alignment horizontal="left" vertical="center" wrapText="1"/>
    </xf>
    <xf numFmtId="0" fontId="28" fillId="3" borderId="9" xfId="0" applyFont="1" applyFill="1" applyBorder="1" applyAlignment="1">
      <alignment horizontal="left" vertical="center" wrapText="1"/>
    </xf>
    <xf numFmtId="0" fontId="13" fillId="5" borderId="13" xfId="0" applyFont="1" applyFill="1" applyBorder="1" applyAlignment="1">
      <alignment horizontal="center" vertical="center" wrapText="1"/>
    </xf>
    <xf numFmtId="0" fontId="13" fillId="5" borderId="14" xfId="0" applyFont="1" applyFill="1" applyBorder="1" applyAlignment="1">
      <alignment horizontal="center" vertical="center" wrapText="1"/>
    </xf>
    <xf numFmtId="0" fontId="15" fillId="10" borderId="8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0" fontId="28" fillId="3" borderId="4" xfId="0" applyFont="1" applyFill="1" applyBorder="1" applyAlignment="1">
      <alignment horizontal="left" vertical="center" wrapText="1"/>
    </xf>
    <xf numFmtId="0" fontId="28" fillId="3" borderId="8" xfId="0" applyFont="1" applyFill="1" applyBorder="1" applyAlignment="1">
      <alignment horizontal="left" vertical="center" wrapText="1"/>
    </xf>
    <xf numFmtId="0" fontId="28" fillId="3" borderId="5" xfId="0" applyFont="1" applyFill="1" applyBorder="1" applyAlignment="1">
      <alignment horizontal="left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/>
    </xf>
    <xf numFmtId="0" fontId="16" fillId="10" borderId="8" xfId="0" applyFont="1" applyFill="1" applyBorder="1" applyAlignment="1">
      <alignment horizontal="center" vertical="center"/>
    </xf>
    <xf numFmtId="0" fontId="16" fillId="10" borderId="5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left" vertical="center" wrapText="1"/>
    </xf>
    <xf numFmtId="0" fontId="19" fillId="5" borderId="8" xfId="0" applyFont="1" applyFill="1" applyBorder="1" applyAlignment="1">
      <alignment horizontal="left" vertical="center" wrapText="1"/>
    </xf>
    <xf numFmtId="0" fontId="19" fillId="5" borderId="5" xfId="0" applyFont="1" applyFill="1" applyBorder="1" applyAlignment="1">
      <alignment horizontal="left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20" fillId="6" borderId="4" xfId="0" applyFont="1" applyFill="1" applyBorder="1" applyAlignment="1">
      <alignment horizontal="left" vertical="center" wrapText="1"/>
    </xf>
    <xf numFmtId="0" fontId="20" fillId="6" borderId="8" xfId="0" applyFont="1" applyFill="1" applyBorder="1" applyAlignment="1">
      <alignment horizontal="left" vertical="center" wrapText="1"/>
    </xf>
    <xf numFmtId="0" fontId="20" fillId="6" borderId="5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3" fillId="8" borderId="8" xfId="0" applyFont="1" applyFill="1" applyBorder="1" applyAlignment="1">
      <alignment horizontal="left" vertical="center"/>
    </xf>
    <xf numFmtId="0" fontId="13" fillId="8" borderId="5" xfId="0" applyFont="1" applyFill="1" applyBorder="1" applyAlignment="1">
      <alignment horizontal="left" vertical="center"/>
    </xf>
    <xf numFmtId="0" fontId="10" fillId="10" borderId="4" xfId="0" applyFont="1" applyFill="1" applyBorder="1" applyAlignment="1">
      <alignment horizontal="center" vertical="center" wrapText="1"/>
    </xf>
    <xf numFmtId="0" fontId="10" fillId="10" borderId="5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left" vertical="center" wrapText="1"/>
    </xf>
    <xf numFmtId="0" fontId="24" fillId="2" borderId="5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left" vertical="center" wrapText="1"/>
    </xf>
  </cellXfs>
  <cellStyles count="4">
    <cellStyle name="Followed Hyperlink" xfId="2" builtinId="9" hidden="1"/>
    <cellStyle name="Hyperlink" xfId="1" builtinId="8" hidden="1"/>
    <cellStyle name="Normal" xfId="0" builtinId="0"/>
    <cellStyle name="Normal 2" xfId="3" xr:uid="{00000000-0005-0000-0000-000004000000}"/>
  </cellStyles>
  <dxfs count="9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 patternType="solid">
          <bgColor rgb="FFFF0000"/>
        </patternFill>
      </fill>
    </dxf>
  </dxfs>
  <tableStyles count="0" defaultTableStyle="TableStyleMedium9" defaultPivotStyle="PivotStyleMedium7"/>
  <colors>
    <mruColors>
      <color rgb="FFEAEEF3"/>
      <color rgb="FFDAF0F3"/>
      <color rgb="FFE6E6E6"/>
      <color rgb="FFFAFAFA"/>
      <color rgb="FFC8C8C8"/>
      <color rgb="FF03C25B"/>
      <color rgb="FF509D9A"/>
      <color rgb="FF5DB2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34636</xdr:colOff>
      <xdr:row>0</xdr:row>
      <xdr:rowOff>43295</xdr:rowOff>
    </xdr:from>
    <xdr:ext cx="1778826" cy="504895"/>
    <xdr:pic>
      <xdr:nvPicPr>
        <xdr:cNvPr id="2" name="Picture 1">
          <a:extLst>
            <a:ext uri="{FF2B5EF4-FFF2-40B4-BE49-F238E27FC236}">
              <a16:creationId xmlns:a16="http://schemas.microsoft.com/office/drawing/2014/main" id="{8A7C5D9A-1DD3-452D-A4EB-5BDFF8DC3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661" y="43295"/>
          <a:ext cx="1778826" cy="50489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34636</xdr:colOff>
      <xdr:row>0</xdr:row>
      <xdr:rowOff>43295</xdr:rowOff>
    </xdr:from>
    <xdr:to>
      <xdr:col>2</xdr:col>
      <xdr:colOff>1232437</xdr:colOff>
      <xdr:row>0</xdr:row>
      <xdr:rowOff>548190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D80075-6057-4379-997F-C9E007CB0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661" y="43295"/>
          <a:ext cx="1778826" cy="5048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34636</xdr:colOff>
      <xdr:row>0</xdr:row>
      <xdr:rowOff>43295</xdr:rowOff>
    </xdr:from>
    <xdr:to>
      <xdr:col>2</xdr:col>
      <xdr:colOff>1232437</xdr:colOff>
      <xdr:row>0</xdr:row>
      <xdr:rowOff>548190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2C05BB8-5B1B-496C-AF57-25F73A10B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661" y="43295"/>
          <a:ext cx="1778826" cy="5048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34636</xdr:colOff>
      <xdr:row>0</xdr:row>
      <xdr:rowOff>43295</xdr:rowOff>
    </xdr:from>
    <xdr:to>
      <xdr:col>2</xdr:col>
      <xdr:colOff>1232437</xdr:colOff>
      <xdr:row>0</xdr:row>
      <xdr:rowOff>548190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D6A1C3-6526-4269-B57D-24BBCCCDD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661" y="43295"/>
          <a:ext cx="1778826" cy="5048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34636</xdr:colOff>
      <xdr:row>0</xdr:row>
      <xdr:rowOff>43295</xdr:rowOff>
    </xdr:from>
    <xdr:ext cx="1778826" cy="504895"/>
    <xdr:pic>
      <xdr:nvPicPr>
        <xdr:cNvPr id="7" name="Picture 6">
          <a:extLst>
            <a:ext uri="{FF2B5EF4-FFF2-40B4-BE49-F238E27FC236}">
              <a16:creationId xmlns:a16="http://schemas.microsoft.com/office/drawing/2014/main" id="{DCBE8641-B105-4057-A97E-D2B54ABF6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661" y="43295"/>
          <a:ext cx="1778826" cy="50489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62835-2871-4537-BCAD-F36BB1ADA270}">
  <sheetPr>
    <tabColor theme="3" tint="0.59999389629810485"/>
  </sheetPr>
  <dimension ref="A1:F37"/>
  <sheetViews>
    <sheetView tabSelected="1" zoomScaleNormal="100" zoomScaleSheetLayoutView="100" workbookViewId="0"/>
  </sheetViews>
  <sheetFormatPr defaultColWidth="0" defaultRowHeight="12.75" zeroHeight="1" x14ac:dyDescent="0.2"/>
  <cols>
    <col min="1" max="1" width="3" style="28" customWidth="1"/>
    <col min="2" max="2" width="8.7109375" style="28" customWidth="1"/>
    <col min="3" max="3" width="20.7109375" style="28" customWidth="1"/>
    <col min="4" max="4" width="40.7109375" style="28" customWidth="1"/>
    <col min="5" max="5" width="18.7109375" style="28" customWidth="1"/>
    <col min="6" max="6" width="3" style="28" customWidth="1"/>
    <col min="7" max="16384" width="11.42578125" style="28" hidden="1"/>
  </cols>
  <sheetData>
    <row r="1" spans="1:6" s="3" customFormat="1" ht="45" customHeight="1" x14ac:dyDescent="0.2">
      <c r="A1" s="3" t="s">
        <v>232</v>
      </c>
      <c r="C1" s="2"/>
      <c r="D1" s="133" t="s">
        <v>221</v>
      </c>
      <c r="E1" s="133"/>
      <c r="F1" s="133"/>
    </row>
    <row r="2" spans="1:6" s="31" customFormat="1" ht="19.899999999999999" customHeight="1" x14ac:dyDescent="0.25">
      <c r="A2" s="30"/>
      <c r="B2" s="143" t="s">
        <v>7</v>
      </c>
      <c r="C2" s="143"/>
      <c r="D2" s="143"/>
      <c r="E2" s="143"/>
      <c r="F2" s="10"/>
    </row>
    <row r="3" spans="1:6" s="31" customFormat="1" ht="27" customHeight="1" thickBot="1" x14ac:dyDescent="0.3">
      <c r="A3" s="30"/>
      <c r="B3" s="119"/>
      <c r="C3" s="120"/>
      <c r="D3" s="120"/>
      <c r="E3" s="121"/>
      <c r="F3" s="18"/>
    </row>
    <row r="4" spans="1:6" s="31" customFormat="1" ht="19.899999999999999" customHeight="1" x14ac:dyDescent="0.25">
      <c r="A4" s="30"/>
      <c r="B4" s="143" t="s">
        <v>243</v>
      </c>
      <c r="C4" s="143"/>
      <c r="D4" s="143"/>
      <c r="E4" s="143"/>
      <c r="F4" s="10"/>
    </row>
    <row r="5" spans="1:6" s="31" customFormat="1" ht="27" customHeight="1" thickBot="1" x14ac:dyDescent="0.3">
      <c r="A5" s="30"/>
      <c r="B5" s="119"/>
      <c r="C5" s="120"/>
      <c r="D5" s="120"/>
      <c r="E5" s="121"/>
      <c r="F5" s="18"/>
    </row>
    <row r="6" spans="1:6" s="31" customFormat="1" ht="19.5" customHeight="1" x14ac:dyDescent="0.25">
      <c r="A6" s="30"/>
      <c r="B6" s="127" t="s">
        <v>78</v>
      </c>
      <c r="C6" s="127"/>
      <c r="D6" s="127"/>
      <c r="E6" s="127"/>
      <c r="F6" s="10"/>
    </row>
    <row r="7" spans="1:6" s="31" customFormat="1" ht="27" customHeight="1" thickBot="1" x14ac:dyDescent="0.3">
      <c r="A7" s="30"/>
      <c r="B7" s="130"/>
      <c r="C7" s="131"/>
      <c r="D7" s="131"/>
      <c r="E7" s="132"/>
      <c r="F7" s="18"/>
    </row>
    <row r="8" spans="1:6" s="31" customFormat="1" ht="19.5" customHeight="1" x14ac:dyDescent="0.25">
      <c r="A8" s="30"/>
      <c r="B8" s="127" t="s">
        <v>4</v>
      </c>
      <c r="C8" s="127"/>
      <c r="D8" s="127"/>
      <c r="E8" s="127"/>
      <c r="F8" s="10"/>
    </row>
    <row r="9" spans="1:6" s="31" customFormat="1" ht="27" customHeight="1" thickBot="1" x14ac:dyDescent="0.3">
      <c r="A9" s="30"/>
      <c r="B9" s="122" t="s">
        <v>244</v>
      </c>
      <c r="C9" s="123"/>
      <c r="D9" s="123"/>
      <c r="E9" s="123"/>
      <c r="F9" s="18"/>
    </row>
    <row r="10" spans="1:6" s="31" customFormat="1" ht="19.5" customHeight="1" x14ac:dyDescent="0.25">
      <c r="A10" s="30"/>
      <c r="B10" s="127" t="s">
        <v>137</v>
      </c>
      <c r="C10" s="127"/>
      <c r="D10" s="127"/>
      <c r="E10" s="127"/>
      <c r="F10" s="10"/>
    </row>
    <row r="11" spans="1:6" s="31" customFormat="1" ht="27" customHeight="1" thickBot="1" x14ac:dyDescent="0.3">
      <c r="A11" s="30"/>
      <c r="B11" s="130"/>
      <c r="C11" s="131"/>
      <c r="D11" s="131"/>
      <c r="E11" s="132"/>
      <c r="F11" s="18"/>
    </row>
    <row r="12" spans="1:6" s="31" customFormat="1" ht="19.899999999999999" customHeight="1" x14ac:dyDescent="0.25">
      <c r="A12" s="30"/>
      <c r="B12" s="127" t="s">
        <v>1</v>
      </c>
      <c r="C12" s="127"/>
      <c r="D12" s="127"/>
      <c r="E12" s="127"/>
      <c r="F12" s="10"/>
    </row>
    <row r="13" spans="1:6" s="31" customFormat="1" ht="39.75" customHeight="1" thickBot="1" x14ac:dyDescent="0.3">
      <c r="A13" s="30"/>
      <c r="B13" s="124"/>
      <c r="C13" s="125"/>
      <c r="D13" s="125"/>
      <c r="E13" s="126"/>
      <c r="F13" s="32"/>
    </row>
    <row r="14" spans="1:6" s="31" customFormat="1" ht="19.5" customHeight="1" x14ac:dyDescent="0.25">
      <c r="A14" s="30"/>
      <c r="B14" s="110"/>
      <c r="C14" s="109"/>
      <c r="D14" s="109"/>
      <c r="E14" s="109"/>
      <c r="F14" s="33"/>
    </row>
    <row r="15" spans="1:6" s="3" customFormat="1" ht="19.5" customHeight="1" x14ac:dyDescent="0.2">
      <c r="B15" s="134" t="s">
        <v>222</v>
      </c>
      <c r="C15" s="135"/>
      <c r="D15" s="135"/>
      <c r="E15" s="136"/>
      <c r="F15" s="15"/>
    </row>
    <row r="16" spans="1:6" s="3" customFormat="1" ht="19.5" customHeight="1" x14ac:dyDescent="0.2">
      <c r="B16" s="138" t="s">
        <v>233</v>
      </c>
      <c r="C16" s="128"/>
      <c r="D16" s="129"/>
      <c r="E16" s="112" cm="1">
        <f t="array" ref="E16">SUMPRODUCT(--ISNUMBER(SEARCH("ATC_",'Specific Test Cases'!B42:B191)))</f>
        <v>51</v>
      </c>
      <c r="F16" s="15"/>
    </row>
    <row r="17" spans="2:6" s="3" customFormat="1" ht="19.5" customHeight="1" x14ac:dyDescent="0.2">
      <c r="B17" s="117"/>
      <c r="C17" s="128" t="s">
        <v>234</v>
      </c>
      <c r="D17" s="129"/>
      <c r="E17" s="112" cm="1">
        <f t="array" ref="E17">SUMPRODUCT(ISNUMBER(SEARCH("ATC_", 'Specific Test Cases'!B42:B191)) * ISNUMBER(SEARCH("EG", 'Specific Test Cases'!B42:B191)))</f>
        <v>8</v>
      </c>
      <c r="F17" s="15"/>
    </row>
    <row r="18" spans="2:6" s="3" customFormat="1" ht="19.5" customHeight="1" x14ac:dyDescent="0.2">
      <c r="B18" s="116"/>
      <c r="C18" s="128" t="s">
        <v>235</v>
      </c>
      <c r="D18" s="129"/>
      <c r="E18" s="112" cm="1">
        <f t="array" ref="E18">SUMPRODUCT(ISNUMBER(SEARCH("ATC_", 'Specific Test Cases'!B42:B191)) * ISNUMBER(SEARCH("CS", 'Specific Test Cases'!B42:B191)))</f>
        <v>43</v>
      </c>
      <c r="F18" s="15"/>
    </row>
    <row r="19" spans="2:6" s="3" customFormat="1" ht="19.5" customHeight="1" x14ac:dyDescent="0.2">
      <c r="B19" s="138" t="s">
        <v>236</v>
      </c>
      <c r="C19" s="128"/>
      <c r="D19" s="129"/>
      <c r="E19" s="112" cm="1">
        <f t="array" ref="E19">SUMPRODUCT(--ISNUMBER(VALUE('Specific Test Cases'!B42:B191)))</f>
        <v>99</v>
      </c>
      <c r="F19" s="118"/>
    </row>
    <row r="20" spans="2:6" s="3" customFormat="1" ht="19.5" customHeight="1" x14ac:dyDescent="0.2">
      <c r="B20" s="117"/>
      <c r="C20" s="128" t="s">
        <v>237</v>
      </c>
      <c r="D20" s="129"/>
      <c r="E20" s="112" cm="1">
        <f t="array" ref="E20">SUMPRODUCT(--ISNUMBER(VALUE('Specific Test Cases'!B42:B64)))</f>
        <v>15</v>
      </c>
      <c r="F20" s="106"/>
    </row>
    <row r="21" spans="2:6" s="3" customFormat="1" ht="19.5" customHeight="1" x14ac:dyDescent="0.2">
      <c r="B21" s="116"/>
      <c r="C21" s="128" t="s">
        <v>238</v>
      </c>
      <c r="D21" s="129"/>
      <c r="E21" s="112" cm="1">
        <f t="array" ref="E21">SUMPRODUCT(--ISNUMBER(VALUE('Specific Test Cases'!B64:B191)))</f>
        <v>85</v>
      </c>
      <c r="F21" s="106"/>
    </row>
    <row r="22" spans="2:6" s="3" customFormat="1" ht="19.5" customHeight="1" x14ac:dyDescent="0.2">
      <c r="B22" s="137" t="s">
        <v>225</v>
      </c>
      <c r="C22" s="128"/>
      <c r="D22" s="129"/>
      <c r="E22" s="112" t="str">
        <f>TEXT(MAX('Specific Test Cases'!C42:C191)-MIN('Specific Test Cases'!C42:C191),"0") &amp; " Tage"</f>
        <v>0 Tage</v>
      </c>
      <c r="F22" s="15"/>
    </row>
    <row r="23" spans="2:6" s="3" customFormat="1" ht="19.5" customHeight="1" x14ac:dyDescent="0.2">
      <c r="B23" s="108"/>
      <c r="C23" s="108"/>
      <c r="D23" s="108"/>
      <c r="E23" s="105"/>
      <c r="F23" s="15"/>
    </row>
    <row r="24" spans="2:6" s="3" customFormat="1" ht="19.5" customHeight="1" x14ac:dyDescent="0.2">
      <c r="B24" s="134" t="s">
        <v>231</v>
      </c>
      <c r="C24" s="135"/>
      <c r="D24" s="135"/>
      <c r="E24" s="136"/>
      <c r="F24" s="15"/>
    </row>
    <row r="25" spans="2:6" ht="19.5" customHeight="1" x14ac:dyDescent="0.2">
      <c r="B25" s="137" t="s">
        <v>239</v>
      </c>
      <c r="C25" s="128"/>
      <c r="D25" s="129"/>
      <c r="E25" s="114" cm="1">
        <f t="array" ref="E25">SUMPRODUCT((('Specific Test Cases'!S42:S191="Passed")+('Specific Test Cases'!S42:S191="Failed"))*1)</f>
        <v>0</v>
      </c>
      <c r="F25" s="16"/>
    </row>
    <row r="26" spans="2:6" ht="19.5" customHeight="1" x14ac:dyDescent="0.2">
      <c r="B26" s="115"/>
      <c r="C26" s="128" t="s">
        <v>240</v>
      </c>
      <c r="D26" s="129"/>
      <c r="E26" s="104">
        <f>COUNTIF('Specific Test Cases'!S42:S191,"Passed")</f>
        <v>0</v>
      </c>
    </row>
    <row r="27" spans="2:6" ht="19.5" customHeight="1" x14ac:dyDescent="0.2">
      <c r="B27" s="144" t="s">
        <v>224</v>
      </c>
      <c r="C27" s="145"/>
      <c r="D27" s="146"/>
      <c r="E27" s="113">
        <f>IF(OR(E26=0,E25=0),0,E26/E25)</f>
        <v>0</v>
      </c>
    </row>
    <row r="28" spans="2:6" ht="19.5" customHeight="1" x14ac:dyDescent="0.2">
      <c r="B28" s="115"/>
      <c r="C28" s="128" t="s">
        <v>241</v>
      </c>
      <c r="D28" s="129"/>
      <c r="E28" s="104">
        <f>COUNTIF('Specific Test Cases'!S42:S191,"Failed")</f>
        <v>0</v>
      </c>
    </row>
    <row r="29" spans="2:6" ht="19.5" customHeight="1" x14ac:dyDescent="0.2">
      <c r="B29" s="144" t="s">
        <v>230</v>
      </c>
      <c r="C29" s="145"/>
      <c r="D29" s="146"/>
      <c r="E29" s="113">
        <f>IF(OR(E28=0,E25=0),0,E28/E25)</f>
        <v>0</v>
      </c>
    </row>
    <row r="30" spans="2:6" ht="19.5" customHeight="1" x14ac:dyDescent="0.2">
      <c r="B30" s="115"/>
      <c r="C30" s="128" t="s">
        <v>242</v>
      </c>
      <c r="D30" s="129"/>
      <c r="E30" s="104">
        <f>COUNTIF('Specific Test Cases'!S42:S191,"Not applicable")</f>
        <v>0</v>
      </c>
    </row>
    <row r="31" spans="2:6" ht="19.5" customHeight="1" x14ac:dyDescent="0.2">
      <c r="B31" s="144" t="s">
        <v>223</v>
      </c>
      <c r="C31" s="145"/>
      <c r="D31" s="146"/>
      <c r="E31" s="113">
        <f>IF(OR(E30=0,E19=0),0,E30/E19)</f>
        <v>0</v>
      </c>
    </row>
    <row r="32" spans="2:6" ht="19.5" customHeight="1" x14ac:dyDescent="0.2">
      <c r="B32" s="16"/>
      <c r="C32" s="40"/>
      <c r="D32" s="64"/>
      <c r="E32" s="111"/>
    </row>
    <row r="33" spans="2:6" ht="19.5" customHeight="1" x14ac:dyDescent="0.2">
      <c r="B33" s="134" t="s">
        <v>226</v>
      </c>
      <c r="C33" s="135"/>
      <c r="D33" s="135"/>
      <c r="E33" s="136"/>
    </row>
    <row r="34" spans="2:6" ht="24" customHeight="1" x14ac:dyDescent="0.2">
      <c r="B34" s="137" t="s">
        <v>227</v>
      </c>
      <c r="C34" s="129"/>
      <c r="D34" s="139"/>
      <c r="E34" s="140"/>
    </row>
    <row r="35" spans="2:6" ht="24" customHeight="1" x14ac:dyDescent="0.2">
      <c r="B35" s="137" t="s">
        <v>228</v>
      </c>
      <c r="C35" s="129"/>
      <c r="D35" s="141"/>
      <c r="E35" s="142"/>
      <c r="F35" s="29"/>
    </row>
    <row r="36" spans="2:6" ht="54.95" customHeight="1" x14ac:dyDescent="0.2">
      <c r="B36" s="137" t="s">
        <v>229</v>
      </c>
      <c r="C36" s="129"/>
      <c r="D36" s="139"/>
      <c r="E36" s="140"/>
    </row>
    <row r="37" spans="2:6" ht="19.5" hidden="1" customHeight="1" x14ac:dyDescent="0.2"/>
  </sheetData>
  <dataConsolidate/>
  <mergeCells count="36">
    <mergeCell ref="B24:E24"/>
    <mergeCell ref="C28:D28"/>
    <mergeCell ref="C30:D30"/>
    <mergeCell ref="C20:D20"/>
    <mergeCell ref="C18:D18"/>
    <mergeCell ref="C21:D21"/>
    <mergeCell ref="B36:C36"/>
    <mergeCell ref="D36:E36"/>
    <mergeCell ref="B29:D29"/>
    <mergeCell ref="B27:D27"/>
    <mergeCell ref="B31:D31"/>
    <mergeCell ref="D1:F1"/>
    <mergeCell ref="B15:E15"/>
    <mergeCell ref="B33:E33"/>
    <mergeCell ref="B34:C34"/>
    <mergeCell ref="B35:C35"/>
    <mergeCell ref="C26:D26"/>
    <mergeCell ref="B16:D16"/>
    <mergeCell ref="B19:D19"/>
    <mergeCell ref="B22:D22"/>
    <mergeCell ref="B25:D25"/>
    <mergeCell ref="D34:E34"/>
    <mergeCell ref="D35:E35"/>
    <mergeCell ref="B2:E2"/>
    <mergeCell ref="B4:E4"/>
    <mergeCell ref="B5:E5"/>
    <mergeCell ref="B12:E12"/>
    <mergeCell ref="B3:E3"/>
    <mergeCell ref="B9:E9"/>
    <mergeCell ref="B13:E13"/>
    <mergeCell ref="B8:E8"/>
    <mergeCell ref="C17:D17"/>
    <mergeCell ref="B10:E10"/>
    <mergeCell ref="B11:E11"/>
    <mergeCell ref="B6:E6"/>
    <mergeCell ref="B7:E7"/>
  </mergeCells>
  <dataValidations count="2">
    <dataValidation type="list" allowBlank="1" showInputMessage="1" showErrorMessage="1" sqref="B7:E7" xr:uid="{DBFD455B-B40A-4FEE-8AAC-B2D2170360A6}">
      <formula1>"GCPH,EMS,EMOB,HVAC,INV,DOMA"</formula1>
    </dataValidation>
    <dataValidation type="list" allowBlank="1" showInputMessage="1" showErrorMessage="1" sqref="B11:E11" xr:uid="{FF2768A4-45CB-476C-8A17-1E8F9BD8AEBF}">
      <formula1>"Energy Guard (EG),Controllable System (CS),EG &amp; CS"</formula1>
    </dataValidation>
  </dataValidations>
  <pageMargins left="0.70866141732283472" right="0.70866141732283472" top="0.74803149606299213" bottom="0.74803149606299213" header="0.31496062992125984" footer="0.31496062992125984"/>
  <pageSetup paperSize="9" scale="89" fitToWidth="0" fitToHeight="0" orientation="portrait" horizontalDpi="4294967293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  <pageSetUpPr fitToPage="1"/>
  </sheetPr>
  <dimension ref="A1:BZ979"/>
  <sheetViews>
    <sheetView zoomScaleNormal="100" workbookViewId="0"/>
  </sheetViews>
  <sheetFormatPr defaultColWidth="14.42578125" defaultRowHeight="15.75" customHeight="1" x14ac:dyDescent="0.2"/>
  <cols>
    <col min="1" max="1" width="3" style="31" customWidth="1"/>
    <col min="2" max="2" width="8.7109375" style="8" customWidth="1"/>
    <col min="3" max="15" width="20.7109375" customWidth="1"/>
    <col min="16" max="17" width="21.7109375" customWidth="1"/>
    <col min="18" max="19" width="20.7109375" customWidth="1"/>
    <col min="20" max="20" width="60.7109375" customWidth="1"/>
    <col min="21" max="21" width="17.7109375" customWidth="1"/>
    <col min="22" max="22" width="60.7109375" customWidth="1"/>
    <col min="23" max="24" width="14.42578125" customWidth="1"/>
  </cols>
  <sheetData>
    <row r="1" spans="1:78" s="3" customFormat="1" ht="45" customHeight="1" x14ac:dyDescent="0.2">
      <c r="C1" s="2"/>
      <c r="D1" s="133" t="s">
        <v>181</v>
      </c>
      <c r="E1" s="133"/>
      <c r="F1" s="133"/>
      <c r="G1" s="133"/>
      <c r="H1" s="2"/>
      <c r="I1" s="15"/>
      <c r="J1" s="15"/>
      <c r="K1" s="15"/>
      <c r="L1" s="9"/>
      <c r="M1" s="9"/>
      <c r="N1" s="2"/>
      <c r="O1" s="2"/>
      <c r="P1" s="2"/>
      <c r="Q1" s="2"/>
      <c r="R1" s="2"/>
      <c r="S1" s="2"/>
      <c r="T1" s="2"/>
    </row>
    <row r="2" spans="1:78" ht="21.75" customHeight="1" x14ac:dyDescent="0.25">
      <c r="A2" s="30"/>
      <c r="B2" s="190" t="s">
        <v>10</v>
      </c>
      <c r="C2" s="191"/>
      <c r="D2" s="153" t="s">
        <v>77</v>
      </c>
      <c r="E2" s="154"/>
      <c r="F2" s="33"/>
      <c r="G2" s="16"/>
      <c r="H2" s="16"/>
      <c r="I2" s="16"/>
      <c r="J2" s="16"/>
      <c r="K2" s="33"/>
      <c r="L2" s="33"/>
      <c r="M2" s="33"/>
      <c r="N2" s="31"/>
      <c r="O2" s="31"/>
      <c r="P2" s="31"/>
      <c r="Q2" s="31"/>
      <c r="R2" s="31"/>
      <c r="S2" s="30"/>
      <c r="T2" s="30"/>
      <c r="U2" s="30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</row>
    <row r="3" spans="1:78" ht="21.75" customHeight="1" x14ac:dyDescent="0.25">
      <c r="A3" s="30"/>
      <c r="B3" s="147" t="s">
        <v>213</v>
      </c>
      <c r="C3" s="147"/>
      <c r="D3" s="148"/>
      <c r="E3" s="148"/>
      <c r="F3" s="33"/>
      <c r="G3" s="16"/>
      <c r="H3" s="16"/>
      <c r="I3" s="16"/>
      <c r="J3" s="16"/>
      <c r="K3" s="33"/>
      <c r="L3" s="33"/>
      <c r="M3" s="33"/>
      <c r="N3" s="31"/>
      <c r="O3" s="31"/>
      <c r="P3" s="31"/>
      <c r="Q3" s="31"/>
      <c r="R3" s="31"/>
      <c r="S3" s="30"/>
      <c r="T3" s="30"/>
      <c r="U3" s="30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</row>
    <row r="4" spans="1:78" s="31" customFormat="1" ht="19.5" customHeight="1" x14ac:dyDescent="0.25">
      <c r="A4" s="30"/>
      <c r="B4" s="20"/>
      <c r="C4" s="20"/>
      <c r="D4" s="19"/>
      <c r="E4" s="19"/>
      <c r="F4" s="33"/>
      <c r="G4" s="16"/>
      <c r="H4" s="16"/>
      <c r="I4" s="16"/>
      <c r="J4" s="16"/>
      <c r="K4" s="33"/>
      <c r="L4" s="33"/>
      <c r="M4" s="33"/>
      <c r="S4" s="30"/>
      <c r="T4" s="30"/>
      <c r="U4" s="30"/>
    </row>
    <row r="5" spans="1:78" ht="19.5" customHeight="1" x14ac:dyDescent="0.25">
      <c r="A5" s="30"/>
      <c r="B5" s="155" t="s">
        <v>203</v>
      </c>
      <c r="C5" s="156"/>
      <c r="D5" s="156"/>
      <c r="E5" s="156"/>
      <c r="F5" s="33"/>
      <c r="G5" s="16"/>
      <c r="H5" s="16"/>
      <c r="I5" s="16"/>
      <c r="J5" s="16"/>
      <c r="K5" s="33"/>
      <c r="L5" s="33"/>
      <c r="M5" s="33"/>
      <c r="N5" s="31"/>
      <c r="O5" s="31"/>
      <c r="P5" s="31"/>
      <c r="Q5" s="31"/>
      <c r="R5" s="31"/>
      <c r="S5" s="30"/>
      <c r="T5" s="30"/>
      <c r="U5" s="30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</row>
    <row r="6" spans="1:78" ht="21.75" customHeight="1" x14ac:dyDescent="0.25">
      <c r="A6" s="30"/>
      <c r="B6" s="190" t="s">
        <v>95</v>
      </c>
      <c r="C6" s="191"/>
      <c r="D6" s="153"/>
      <c r="E6" s="154"/>
      <c r="F6" s="33"/>
      <c r="G6" s="16"/>
      <c r="H6" s="16"/>
      <c r="I6" s="16"/>
      <c r="J6" s="16"/>
      <c r="K6" s="33"/>
      <c r="L6" s="33"/>
      <c r="M6" s="33"/>
      <c r="N6" s="31"/>
      <c r="O6" s="31"/>
      <c r="P6" s="31"/>
      <c r="Q6" s="31"/>
      <c r="R6" s="31"/>
      <c r="S6" s="30"/>
      <c r="T6" s="30"/>
      <c r="U6" s="30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</row>
    <row r="7" spans="1:78" ht="21.75" customHeight="1" x14ac:dyDescent="0.25">
      <c r="A7" s="30"/>
      <c r="B7" s="151" t="s">
        <v>96</v>
      </c>
      <c r="C7" s="152"/>
      <c r="D7" s="153"/>
      <c r="E7" s="154"/>
      <c r="F7" s="33"/>
      <c r="G7" s="16"/>
      <c r="H7" s="16"/>
      <c r="I7" s="16"/>
      <c r="J7" s="16"/>
      <c r="K7" s="33"/>
      <c r="L7" s="33"/>
      <c r="M7" s="33"/>
      <c r="N7" s="31"/>
      <c r="O7" s="31"/>
      <c r="P7" s="31"/>
      <c r="Q7" s="31"/>
      <c r="R7" s="31"/>
      <c r="S7" s="30"/>
      <c r="T7" s="30"/>
      <c r="U7" s="30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</row>
    <row r="8" spans="1:78" s="31" customFormat="1" ht="19.5" customHeight="1" x14ac:dyDescent="0.25">
      <c r="A8" s="30"/>
      <c r="B8" s="16"/>
      <c r="C8" s="16"/>
      <c r="D8" s="16"/>
      <c r="E8" s="16"/>
      <c r="F8" s="16"/>
      <c r="G8" s="16"/>
      <c r="H8" s="16"/>
      <c r="J8" s="16"/>
      <c r="K8" s="33"/>
      <c r="L8" s="33"/>
      <c r="M8" s="33"/>
      <c r="S8" s="30"/>
      <c r="T8" s="30"/>
      <c r="U8" s="30"/>
    </row>
    <row r="9" spans="1:78" ht="20.100000000000001" customHeight="1" x14ac:dyDescent="0.25">
      <c r="A9" s="30"/>
      <c r="B9" s="134" t="s">
        <v>97</v>
      </c>
      <c r="C9" s="135"/>
      <c r="D9" s="135"/>
      <c r="E9" s="135"/>
      <c r="F9" s="157" t="s">
        <v>109</v>
      </c>
      <c r="G9" s="161"/>
      <c r="H9" s="158"/>
      <c r="I9" s="16"/>
      <c r="J9" s="16"/>
      <c r="K9" s="33"/>
      <c r="L9" s="33"/>
      <c r="M9" s="33"/>
      <c r="N9" s="31"/>
      <c r="O9" s="31"/>
      <c r="P9" s="31"/>
      <c r="Q9" s="31"/>
      <c r="R9" s="31"/>
      <c r="S9" s="30"/>
      <c r="T9" s="30"/>
      <c r="U9" s="30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</row>
    <row r="10" spans="1:78" ht="21.95" customHeight="1" x14ac:dyDescent="0.25">
      <c r="A10" s="30"/>
      <c r="B10" s="157" t="s">
        <v>25</v>
      </c>
      <c r="C10" s="158"/>
      <c r="D10" s="153">
        <v>0</v>
      </c>
      <c r="E10" s="154"/>
      <c r="F10" s="184" t="s">
        <v>100</v>
      </c>
      <c r="G10" s="185"/>
      <c r="H10" s="186"/>
      <c r="I10" s="16"/>
      <c r="J10" s="16"/>
      <c r="K10" s="33"/>
      <c r="L10" s="33"/>
      <c r="M10" s="33"/>
      <c r="N10" s="31"/>
      <c r="O10" s="31"/>
      <c r="P10" s="31"/>
      <c r="Q10" s="31"/>
      <c r="R10" s="31"/>
      <c r="S10" s="30"/>
      <c r="T10" s="30"/>
      <c r="U10" s="30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</row>
    <row r="11" spans="1:78" ht="21.95" customHeight="1" x14ac:dyDescent="0.25">
      <c r="A11" s="30"/>
      <c r="B11" s="159" t="s">
        <v>26</v>
      </c>
      <c r="C11" s="160"/>
      <c r="D11" s="153">
        <v>0.1</v>
      </c>
      <c r="E11" s="154"/>
      <c r="F11" s="184" t="s">
        <v>100</v>
      </c>
      <c r="G11" s="185"/>
      <c r="H11" s="186"/>
      <c r="I11" s="24"/>
      <c r="J11" s="16"/>
      <c r="K11" s="33"/>
      <c r="L11" s="33"/>
      <c r="M11" s="33"/>
      <c r="N11" s="31"/>
      <c r="O11" s="31"/>
      <c r="P11" s="31"/>
      <c r="Q11" s="31"/>
      <c r="R11" s="31"/>
      <c r="S11" s="30"/>
      <c r="T11" s="30"/>
      <c r="U11" s="30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</row>
    <row r="12" spans="1:78" ht="21.95" customHeight="1" x14ac:dyDescent="0.25">
      <c r="A12" s="30"/>
      <c r="B12" s="22"/>
      <c r="C12" s="23" t="s">
        <v>108</v>
      </c>
      <c r="D12" s="174">
        <f>0.05*(D11-D10)</f>
        <v>5.000000000000001E-3</v>
      </c>
      <c r="E12" s="175"/>
      <c r="F12" s="184"/>
      <c r="G12" s="185"/>
      <c r="H12" s="186"/>
      <c r="I12" s="24"/>
      <c r="J12" s="16"/>
      <c r="K12" s="33"/>
      <c r="L12" s="33"/>
      <c r="M12" s="33"/>
      <c r="N12" s="31"/>
      <c r="O12" s="31"/>
      <c r="P12" s="31"/>
      <c r="Q12" s="31"/>
      <c r="R12" s="31"/>
      <c r="S12" s="30"/>
      <c r="T12" s="30"/>
      <c r="U12" s="30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</row>
    <row r="13" spans="1:78" ht="21.95" customHeight="1" x14ac:dyDescent="0.25">
      <c r="A13" s="30"/>
      <c r="B13" s="157" t="s">
        <v>8</v>
      </c>
      <c r="C13" s="161"/>
      <c r="D13" s="174">
        <f>IF((D10-D12)&gt;0,D10-D12,0)</f>
        <v>0</v>
      </c>
      <c r="E13" s="175"/>
      <c r="F13" s="184" t="s">
        <v>99</v>
      </c>
      <c r="G13" s="185"/>
      <c r="H13" s="186"/>
      <c r="I13" s="16"/>
      <c r="J13" s="16"/>
      <c r="K13" s="33"/>
      <c r="L13" s="33"/>
      <c r="M13" s="33"/>
      <c r="N13" s="31"/>
      <c r="O13" s="31"/>
      <c r="P13" s="31"/>
      <c r="Q13" s="31"/>
      <c r="R13" s="31"/>
      <c r="S13" s="30"/>
      <c r="T13" s="30"/>
      <c r="U13" s="30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</row>
    <row r="14" spans="1:78" ht="21.95" customHeight="1" x14ac:dyDescent="0.25">
      <c r="A14" s="30"/>
      <c r="B14" s="157" t="s">
        <v>15</v>
      </c>
      <c r="C14" s="161"/>
      <c r="D14" s="174">
        <f>D10+D12</f>
        <v>5.000000000000001E-3</v>
      </c>
      <c r="E14" s="175"/>
      <c r="F14" s="184" t="s">
        <v>99</v>
      </c>
      <c r="G14" s="185"/>
      <c r="H14" s="186"/>
      <c r="I14" s="16"/>
      <c r="J14" s="16"/>
      <c r="K14" s="33"/>
      <c r="L14" s="33"/>
      <c r="M14" s="33"/>
      <c r="N14" s="31"/>
      <c r="O14" s="31"/>
      <c r="P14" s="31"/>
      <c r="Q14" s="31"/>
      <c r="R14" s="31"/>
      <c r="S14" s="30"/>
      <c r="T14" s="30"/>
      <c r="U14" s="30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</row>
    <row r="15" spans="1:78" ht="21.95" customHeight="1" x14ac:dyDescent="0.25">
      <c r="A15" s="30"/>
      <c r="B15" s="157" t="s">
        <v>18</v>
      </c>
      <c r="C15" s="161"/>
      <c r="D15" s="176"/>
      <c r="E15" s="154"/>
      <c r="F15" s="184" t="s">
        <v>99</v>
      </c>
      <c r="G15" s="185"/>
      <c r="H15" s="186"/>
      <c r="I15" s="16"/>
      <c r="J15" s="16"/>
      <c r="K15" s="33"/>
      <c r="L15" s="33"/>
      <c r="M15" s="33"/>
      <c r="N15" s="31"/>
      <c r="O15" s="31"/>
      <c r="P15" s="31"/>
      <c r="Q15" s="31"/>
      <c r="R15" s="31"/>
      <c r="S15" s="30"/>
      <c r="T15" s="30"/>
      <c r="U15" s="30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</row>
    <row r="16" spans="1:78" ht="21.95" customHeight="1" x14ac:dyDescent="0.25">
      <c r="A16" s="30"/>
      <c r="B16" s="157" t="s">
        <v>19</v>
      </c>
      <c r="C16" s="161"/>
      <c r="D16" s="174">
        <f>D11-D12</f>
        <v>9.5000000000000001E-2</v>
      </c>
      <c r="E16" s="175"/>
      <c r="F16" s="184" t="s">
        <v>99</v>
      </c>
      <c r="G16" s="185"/>
      <c r="H16" s="186"/>
      <c r="I16" s="16"/>
      <c r="J16" s="16"/>
      <c r="K16" s="33"/>
      <c r="L16" s="33"/>
      <c r="M16" s="33"/>
      <c r="N16" s="31"/>
      <c r="O16" s="31"/>
      <c r="P16" s="31"/>
      <c r="Q16" s="31"/>
      <c r="R16" s="31"/>
      <c r="S16" s="30"/>
      <c r="T16" s="30"/>
      <c r="U16" s="30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</row>
    <row r="17" spans="1:78" ht="21.95" customHeight="1" x14ac:dyDescent="0.25">
      <c r="A17" s="30"/>
      <c r="B17" s="157" t="s">
        <v>20</v>
      </c>
      <c r="C17" s="161"/>
      <c r="D17" s="174">
        <f>D11+D12</f>
        <v>0.10500000000000001</v>
      </c>
      <c r="E17" s="175"/>
      <c r="F17" s="184" t="s">
        <v>99</v>
      </c>
      <c r="G17" s="185"/>
      <c r="H17" s="186"/>
      <c r="I17" s="16"/>
      <c r="J17" s="16"/>
      <c r="K17" s="33"/>
      <c r="L17" s="33"/>
      <c r="M17" s="33"/>
      <c r="N17" s="31"/>
      <c r="O17" s="31"/>
      <c r="P17" s="31"/>
      <c r="Q17" s="31"/>
      <c r="R17" s="31"/>
      <c r="S17" s="30"/>
      <c r="T17" s="30"/>
      <c r="U17" s="30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</row>
    <row r="18" spans="1:78" ht="21.95" customHeight="1" x14ac:dyDescent="0.25">
      <c r="A18" s="30"/>
      <c r="B18" s="157" t="s">
        <v>40</v>
      </c>
      <c r="C18" s="161"/>
      <c r="D18" s="174">
        <v>-1000</v>
      </c>
      <c r="E18" s="175"/>
      <c r="F18" s="48"/>
      <c r="G18" s="49"/>
      <c r="H18" s="50"/>
      <c r="I18" s="16"/>
      <c r="J18" s="16"/>
      <c r="K18" s="33"/>
      <c r="L18" s="33"/>
      <c r="M18" s="33"/>
      <c r="N18" s="31"/>
      <c r="O18" s="31"/>
      <c r="P18" s="31"/>
      <c r="Q18" s="31"/>
      <c r="R18" s="31"/>
      <c r="S18" s="30"/>
      <c r="T18" s="30"/>
      <c r="U18" s="30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</row>
    <row r="19" spans="1:78" ht="20.100000000000001" customHeight="1" x14ac:dyDescent="0.25">
      <c r="A19" s="30"/>
      <c r="B19" s="162" t="s">
        <v>98</v>
      </c>
      <c r="C19" s="163"/>
      <c r="D19" s="163"/>
      <c r="E19" s="164"/>
      <c r="F19" s="181" t="s">
        <v>109</v>
      </c>
      <c r="G19" s="182"/>
      <c r="H19" s="183"/>
      <c r="I19" s="16"/>
      <c r="J19" s="16"/>
      <c r="K19" s="33"/>
      <c r="L19" s="33"/>
      <c r="M19" s="33"/>
      <c r="N19" s="31"/>
      <c r="O19" s="31"/>
      <c r="P19" s="31"/>
      <c r="Q19" s="31"/>
      <c r="R19" s="31"/>
      <c r="S19" s="30"/>
      <c r="T19" s="30"/>
      <c r="U19" s="30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</row>
    <row r="20" spans="1:78" ht="21.95" customHeight="1" x14ac:dyDescent="0.25">
      <c r="A20" s="30"/>
      <c r="B20" s="149" t="s">
        <v>27</v>
      </c>
      <c r="C20" s="150"/>
      <c r="D20" s="153"/>
      <c r="E20" s="154"/>
      <c r="F20" s="184" t="s">
        <v>101</v>
      </c>
      <c r="G20" s="185"/>
      <c r="H20" s="186"/>
      <c r="I20" s="16"/>
      <c r="J20" s="16"/>
      <c r="K20" s="33"/>
      <c r="L20" s="33"/>
      <c r="M20" s="33"/>
      <c r="N20" s="31"/>
      <c r="O20" s="31"/>
      <c r="P20" s="31"/>
      <c r="Q20" s="31"/>
      <c r="R20" s="31"/>
      <c r="S20" s="30"/>
      <c r="T20" s="30"/>
      <c r="U20" s="30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</row>
    <row r="21" spans="1:78" ht="21.95" customHeight="1" x14ac:dyDescent="0.25">
      <c r="A21" s="30"/>
      <c r="B21" s="149" t="s">
        <v>30</v>
      </c>
      <c r="C21" s="150"/>
      <c r="D21" s="153">
        <v>0</v>
      </c>
      <c r="E21" s="154"/>
      <c r="F21" s="184" t="s">
        <v>102</v>
      </c>
      <c r="G21" s="185"/>
      <c r="H21" s="186"/>
      <c r="I21" s="16"/>
      <c r="J21" s="16"/>
      <c r="K21" s="33"/>
      <c r="L21" s="33"/>
      <c r="M21" s="33"/>
      <c r="N21" s="31"/>
      <c r="O21" s="31"/>
      <c r="P21" s="31"/>
      <c r="Q21" s="31"/>
      <c r="R21" s="31"/>
      <c r="S21" s="30"/>
      <c r="T21" s="30"/>
      <c r="U21" s="30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</row>
    <row r="22" spans="1:78" ht="21.95" customHeight="1" x14ac:dyDescent="0.25">
      <c r="A22" s="30"/>
      <c r="B22" s="149" t="s">
        <v>31</v>
      </c>
      <c r="C22" s="150"/>
      <c r="D22" s="153">
        <v>0.1</v>
      </c>
      <c r="E22" s="165"/>
      <c r="F22" s="184" t="s">
        <v>102</v>
      </c>
      <c r="G22" s="185"/>
      <c r="H22" s="186"/>
      <c r="I22" s="24"/>
      <c r="J22" s="16"/>
      <c r="K22" s="33"/>
      <c r="L22" s="33"/>
      <c r="M22" s="33"/>
      <c r="N22" s="31"/>
      <c r="O22" s="31"/>
      <c r="P22" s="31"/>
      <c r="Q22" s="31"/>
      <c r="R22" s="31"/>
      <c r="S22" s="30"/>
      <c r="T22" s="30"/>
      <c r="U22" s="30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</row>
    <row r="23" spans="1:78" ht="21.95" customHeight="1" x14ac:dyDescent="0.25">
      <c r="A23" s="30"/>
      <c r="B23" s="21"/>
      <c r="C23" s="21" t="s">
        <v>108</v>
      </c>
      <c r="D23" s="174">
        <f>0.05*(D22-D21)</f>
        <v>5.000000000000001E-3</v>
      </c>
      <c r="E23" s="175"/>
      <c r="F23" s="184"/>
      <c r="G23" s="185"/>
      <c r="H23" s="186"/>
      <c r="I23" s="24"/>
      <c r="J23" s="16"/>
      <c r="K23" s="33"/>
      <c r="L23" s="33"/>
      <c r="M23" s="33"/>
      <c r="N23" s="31"/>
      <c r="O23" s="31"/>
      <c r="P23" s="31"/>
      <c r="Q23" s="31"/>
      <c r="R23" s="31"/>
      <c r="S23" s="30"/>
      <c r="T23" s="30"/>
      <c r="U23" s="30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</row>
    <row r="24" spans="1:78" ht="21.95" customHeight="1" x14ac:dyDescent="0.25">
      <c r="A24" s="30"/>
      <c r="B24" s="149" t="s">
        <v>16</v>
      </c>
      <c r="C24" s="149"/>
      <c r="D24" s="174">
        <f>IF((D21-D23)&gt;0,D21-D23,0)</f>
        <v>0</v>
      </c>
      <c r="E24" s="175"/>
      <c r="F24" s="184" t="s">
        <v>103</v>
      </c>
      <c r="G24" s="185"/>
      <c r="H24" s="186"/>
      <c r="I24" s="16"/>
      <c r="J24" s="16"/>
      <c r="K24" s="33"/>
      <c r="L24" s="33"/>
      <c r="M24" s="33"/>
      <c r="N24" s="31"/>
      <c r="O24" s="31"/>
      <c r="P24" s="31"/>
      <c r="Q24" s="31"/>
      <c r="R24" s="31"/>
      <c r="S24" s="30"/>
      <c r="T24" s="30"/>
      <c r="U24" s="30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</row>
    <row r="25" spans="1:78" ht="21.95" customHeight="1" x14ac:dyDescent="0.25">
      <c r="A25" s="30"/>
      <c r="B25" s="149" t="s">
        <v>17</v>
      </c>
      <c r="C25" s="149"/>
      <c r="D25" s="174">
        <f>D21+D23</f>
        <v>5.000000000000001E-3</v>
      </c>
      <c r="E25" s="175"/>
      <c r="F25" s="184" t="s">
        <v>103</v>
      </c>
      <c r="G25" s="185"/>
      <c r="H25" s="186"/>
      <c r="I25" s="16"/>
      <c r="J25" s="16"/>
      <c r="K25" s="33"/>
      <c r="L25" s="33"/>
      <c r="M25" s="33"/>
      <c r="N25" s="31"/>
      <c r="O25" s="31"/>
      <c r="P25" s="31"/>
      <c r="Q25" s="31"/>
      <c r="R25" s="31"/>
      <c r="S25" s="30"/>
      <c r="T25" s="30"/>
      <c r="U25" s="30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</row>
    <row r="26" spans="1:78" ht="21.95" customHeight="1" x14ac:dyDescent="0.25">
      <c r="A26" s="30"/>
      <c r="B26" s="149" t="s">
        <v>21</v>
      </c>
      <c r="C26" s="149"/>
      <c r="D26" s="176"/>
      <c r="E26" s="154"/>
      <c r="F26" s="184" t="s">
        <v>103</v>
      </c>
      <c r="G26" s="185"/>
      <c r="H26" s="186"/>
      <c r="I26" s="16"/>
      <c r="J26" s="16"/>
      <c r="K26" s="33"/>
      <c r="L26" s="33"/>
      <c r="M26" s="33"/>
      <c r="N26" s="31"/>
      <c r="O26" s="31"/>
      <c r="P26" s="31"/>
      <c r="Q26" s="31"/>
      <c r="R26" s="31"/>
      <c r="S26" s="30"/>
      <c r="T26" s="30"/>
      <c r="U26" s="30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</row>
    <row r="27" spans="1:78" ht="21.95" customHeight="1" x14ac:dyDescent="0.25">
      <c r="A27" s="30"/>
      <c r="B27" s="149" t="s">
        <v>22</v>
      </c>
      <c r="C27" s="149"/>
      <c r="D27" s="174">
        <f>D22-D23</f>
        <v>9.5000000000000001E-2</v>
      </c>
      <c r="E27" s="175"/>
      <c r="F27" s="184" t="s">
        <v>103</v>
      </c>
      <c r="G27" s="185"/>
      <c r="H27" s="186"/>
      <c r="I27" s="16"/>
      <c r="J27" s="16"/>
      <c r="K27" s="33"/>
      <c r="L27" s="33"/>
      <c r="M27" s="33"/>
      <c r="N27" s="31"/>
      <c r="O27" s="31"/>
      <c r="P27" s="31"/>
      <c r="Q27" s="31"/>
      <c r="R27" s="31"/>
      <c r="S27" s="30"/>
      <c r="T27" s="30"/>
      <c r="U27" s="30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</row>
    <row r="28" spans="1:78" ht="21.95" customHeight="1" x14ac:dyDescent="0.25">
      <c r="A28" s="30"/>
      <c r="B28" s="149" t="s">
        <v>23</v>
      </c>
      <c r="C28" s="149"/>
      <c r="D28" s="174">
        <f>D22+D23</f>
        <v>0.10500000000000001</v>
      </c>
      <c r="E28" s="175"/>
      <c r="F28" s="184" t="s">
        <v>103</v>
      </c>
      <c r="G28" s="185"/>
      <c r="H28" s="186"/>
      <c r="I28" s="16"/>
      <c r="J28" s="16"/>
      <c r="K28" s="33"/>
      <c r="L28" s="33"/>
      <c r="M28" s="33"/>
      <c r="N28" s="31"/>
      <c r="O28" s="31"/>
      <c r="P28" s="31"/>
      <c r="Q28" s="31"/>
      <c r="R28" s="31"/>
      <c r="S28" s="30"/>
      <c r="T28" s="30"/>
      <c r="U28" s="30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</row>
    <row r="29" spans="1:78" ht="21.95" customHeight="1" x14ac:dyDescent="0.25">
      <c r="A29" s="30"/>
      <c r="B29" s="149" t="s">
        <v>41</v>
      </c>
      <c r="C29" s="149"/>
      <c r="D29" s="174">
        <v>-1000</v>
      </c>
      <c r="E29" s="175"/>
      <c r="F29" s="184"/>
      <c r="G29" s="185"/>
      <c r="H29" s="186"/>
      <c r="I29" s="16"/>
      <c r="J29" s="16"/>
      <c r="K29" s="33"/>
      <c r="L29" s="33"/>
      <c r="M29" s="33"/>
      <c r="N29" s="31"/>
      <c r="O29" s="31"/>
      <c r="P29" s="31"/>
      <c r="Q29" s="31"/>
      <c r="R29" s="31"/>
      <c r="S29" s="30"/>
      <c r="T29" s="30"/>
      <c r="U29" s="30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</row>
    <row r="30" spans="1:78" ht="20.100000000000001" customHeight="1" x14ac:dyDescent="0.25">
      <c r="A30" s="30"/>
      <c r="B30" s="162" t="s">
        <v>206</v>
      </c>
      <c r="C30" s="163"/>
      <c r="D30" s="163"/>
      <c r="E30" s="164"/>
      <c r="F30" s="181" t="s">
        <v>109</v>
      </c>
      <c r="G30" s="182"/>
      <c r="H30" s="183"/>
      <c r="I30" s="16"/>
      <c r="J30" s="16"/>
      <c r="K30" s="33"/>
      <c r="L30" s="33"/>
      <c r="M30" s="33"/>
      <c r="N30" s="31"/>
      <c r="O30" s="31"/>
      <c r="P30" s="31"/>
      <c r="Q30" s="31"/>
      <c r="R30" s="31"/>
      <c r="S30" s="30"/>
      <c r="T30" s="30"/>
      <c r="U30" s="30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</row>
    <row r="31" spans="1:78" ht="21.95" customHeight="1" x14ac:dyDescent="0.25">
      <c r="A31" s="30"/>
      <c r="B31" s="149" t="s">
        <v>28</v>
      </c>
      <c r="C31" s="150"/>
      <c r="D31" s="153"/>
      <c r="E31" s="154"/>
      <c r="F31" s="184" t="s">
        <v>106</v>
      </c>
      <c r="G31" s="185"/>
      <c r="H31" s="186"/>
      <c r="I31" s="16"/>
      <c r="J31" s="16"/>
      <c r="K31" s="33"/>
      <c r="L31" s="33"/>
      <c r="M31" s="33"/>
      <c r="N31" s="31"/>
      <c r="O31" s="31"/>
      <c r="P31" s="31"/>
      <c r="Q31" s="31"/>
      <c r="R31" s="31"/>
      <c r="S31" s="30"/>
      <c r="T31" s="30"/>
      <c r="U31" s="30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</row>
    <row r="32" spans="1:78" ht="21.95" customHeight="1" x14ac:dyDescent="0.25">
      <c r="A32" s="30"/>
      <c r="B32" s="149" t="s">
        <v>29</v>
      </c>
      <c r="C32" s="150"/>
      <c r="D32" s="153"/>
      <c r="E32" s="154"/>
      <c r="F32" s="184" t="s">
        <v>106</v>
      </c>
      <c r="G32" s="185"/>
      <c r="H32" s="186"/>
      <c r="I32" s="16"/>
      <c r="J32" s="16"/>
      <c r="K32" s="33"/>
      <c r="L32" s="33"/>
      <c r="M32" s="33"/>
      <c r="N32" s="31"/>
      <c r="O32" s="31"/>
      <c r="P32" s="31"/>
      <c r="Q32" s="31"/>
      <c r="R32" s="31"/>
      <c r="S32" s="30"/>
      <c r="T32" s="30"/>
      <c r="U32" s="30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</row>
    <row r="33" spans="1:78" ht="21.95" customHeight="1" x14ac:dyDescent="0.25">
      <c r="A33" s="30"/>
      <c r="B33" s="149" t="s">
        <v>13</v>
      </c>
      <c r="C33" s="150"/>
      <c r="D33" s="177" t="s">
        <v>104</v>
      </c>
      <c r="E33" s="175"/>
      <c r="F33" s="184"/>
      <c r="G33" s="185"/>
      <c r="H33" s="186"/>
      <c r="I33" s="16"/>
      <c r="J33" s="16"/>
      <c r="K33" s="33"/>
      <c r="L33" s="33"/>
      <c r="M33" s="33"/>
      <c r="N33" s="31"/>
      <c r="O33" s="31"/>
      <c r="P33" s="31"/>
      <c r="Q33" s="31"/>
      <c r="R33" s="31"/>
      <c r="S33" s="30"/>
      <c r="T33" s="30"/>
      <c r="U33" s="30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</row>
    <row r="34" spans="1:78" ht="21.95" customHeight="1" x14ac:dyDescent="0.25">
      <c r="A34" s="30"/>
      <c r="B34" s="149" t="s">
        <v>14</v>
      </c>
      <c r="C34" s="150"/>
      <c r="D34" s="153"/>
      <c r="E34" s="154"/>
      <c r="F34" s="184" t="s">
        <v>105</v>
      </c>
      <c r="G34" s="185"/>
      <c r="H34" s="186"/>
      <c r="I34" s="16"/>
      <c r="J34" s="16"/>
      <c r="K34" s="33"/>
      <c r="L34" s="33"/>
      <c r="M34" s="33"/>
      <c r="N34" s="31"/>
      <c r="O34" s="31"/>
      <c r="P34" s="31"/>
      <c r="Q34" s="31"/>
      <c r="R34" s="31"/>
      <c r="S34" s="30"/>
      <c r="T34" s="30"/>
      <c r="U34" s="30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</row>
    <row r="35" spans="1:78" ht="21.95" customHeight="1" x14ac:dyDescent="0.25">
      <c r="A35" s="30"/>
      <c r="B35" s="149" t="s">
        <v>24</v>
      </c>
      <c r="C35" s="150"/>
      <c r="D35" s="177">
        <f>1.05*D31</f>
        <v>0</v>
      </c>
      <c r="E35" s="175"/>
      <c r="F35" s="184" t="s">
        <v>107</v>
      </c>
      <c r="G35" s="185"/>
      <c r="H35" s="186"/>
      <c r="I35" s="25"/>
      <c r="J35" s="16"/>
      <c r="K35" s="33"/>
      <c r="L35" s="33"/>
      <c r="M35" s="33"/>
      <c r="N35" s="31"/>
      <c r="O35" s="31"/>
      <c r="P35" s="31"/>
      <c r="Q35" s="31"/>
      <c r="R35" s="31"/>
      <c r="S35" s="30"/>
      <c r="T35" s="30"/>
      <c r="U35" s="30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</row>
    <row r="36" spans="1:78" ht="21.95" customHeight="1" x14ac:dyDescent="0.25">
      <c r="A36" s="30"/>
      <c r="B36" s="187" t="s">
        <v>110</v>
      </c>
      <c r="C36" s="188"/>
      <c r="D36" s="188"/>
      <c r="E36" s="189"/>
      <c r="F36" s="181" t="s">
        <v>109</v>
      </c>
      <c r="G36" s="182"/>
      <c r="H36" s="183"/>
      <c r="I36" s="16"/>
      <c r="J36" s="16"/>
      <c r="K36" s="33"/>
      <c r="L36" s="33"/>
      <c r="M36" s="33"/>
      <c r="N36" s="31"/>
      <c r="O36" s="31"/>
      <c r="P36" s="31"/>
      <c r="Q36" s="31"/>
      <c r="R36" s="31"/>
      <c r="S36" s="30"/>
      <c r="T36" s="30"/>
      <c r="U36" s="30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</row>
    <row r="37" spans="1:78" ht="21.95" customHeight="1" x14ac:dyDescent="0.25">
      <c r="A37" s="30"/>
      <c r="B37" s="149" t="s">
        <v>111</v>
      </c>
      <c r="C37" s="150"/>
      <c r="D37" s="153"/>
      <c r="E37" s="154"/>
      <c r="F37" s="184" t="s">
        <v>178</v>
      </c>
      <c r="G37" s="185"/>
      <c r="H37" s="186"/>
      <c r="I37" s="16"/>
      <c r="J37" s="16"/>
      <c r="K37" s="33"/>
      <c r="L37" s="33"/>
      <c r="M37" s="33"/>
      <c r="N37" s="31"/>
      <c r="O37" s="31"/>
      <c r="P37" s="31"/>
      <c r="Q37" s="31"/>
      <c r="R37" s="31"/>
      <c r="S37" s="30"/>
      <c r="T37" s="30"/>
      <c r="U37" s="30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</row>
    <row r="38" spans="1:78" ht="21.95" customHeight="1" x14ac:dyDescent="0.25">
      <c r="A38" s="30"/>
      <c r="B38" s="187" t="s">
        <v>113</v>
      </c>
      <c r="C38" s="188"/>
      <c r="D38" s="188"/>
      <c r="E38" s="189"/>
      <c r="F38" s="181" t="s">
        <v>109</v>
      </c>
      <c r="G38" s="182"/>
      <c r="H38" s="183"/>
      <c r="I38" s="16"/>
      <c r="J38" s="16"/>
      <c r="K38" s="33"/>
      <c r="L38" s="33"/>
      <c r="M38" s="33"/>
      <c r="N38" s="31"/>
      <c r="O38" s="31"/>
      <c r="P38" s="31"/>
      <c r="Q38" s="31"/>
      <c r="R38" s="31"/>
      <c r="S38" s="30"/>
      <c r="T38" s="30"/>
      <c r="U38" s="30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</row>
    <row r="39" spans="1:78" ht="21.95" customHeight="1" x14ac:dyDescent="0.25">
      <c r="A39" s="30"/>
      <c r="B39" s="149" t="s">
        <v>111</v>
      </c>
      <c r="C39" s="150"/>
      <c r="D39" s="153"/>
      <c r="E39" s="154"/>
      <c r="F39" s="184" t="s">
        <v>179</v>
      </c>
      <c r="G39" s="185"/>
      <c r="H39" s="186"/>
      <c r="I39" s="16"/>
      <c r="J39" s="16"/>
      <c r="K39" s="33"/>
      <c r="L39" s="33"/>
      <c r="M39" s="33"/>
      <c r="N39" s="31"/>
      <c r="O39" s="31"/>
      <c r="P39" s="31"/>
      <c r="Q39" s="31"/>
      <c r="R39" s="31"/>
      <c r="S39" s="30"/>
      <c r="T39" s="30"/>
      <c r="U39" s="30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</row>
    <row r="40" spans="1:78" s="31" customFormat="1" ht="19.5" customHeight="1" x14ac:dyDescent="0.25">
      <c r="A40" s="30"/>
      <c r="B40" s="36"/>
      <c r="C40" s="16"/>
      <c r="D40" s="16"/>
      <c r="E40" s="16"/>
      <c r="F40" s="25"/>
      <c r="G40" s="16"/>
      <c r="H40" s="16"/>
      <c r="I40" s="16"/>
      <c r="J40" s="16"/>
      <c r="K40" s="33"/>
      <c r="L40" s="33"/>
      <c r="M40" s="33"/>
      <c r="S40" s="30"/>
      <c r="T40" s="30"/>
      <c r="U40" s="30"/>
    </row>
    <row r="41" spans="1:78" s="91" customFormat="1" ht="39" customHeight="1" x14ac:dyDescent="0.2">
      <c r="A41" s="34"/>
      <c r="B41" s="4" t="s">
        <v>6</v>
      </c>
      <c r="C41" s="6" t="s">
        <v>5</v>
      </c>
      <c r="D41" s="11" t="s">
        <v>69</v>
      </c>
      <c r="E41" s="159" t="s">
        <v>141</v>
      </c>
      <c r="F41" s="160"/>
      <c r="G41" s="11" t="s">
        <v>9</v>
      </c>
      <c r="H41" s="159" t="s">
        <v>204</v>
      </c>
      <c r="I41" s="160"/>
      <c r="J41" s="11" t="s">
        <v>70</v>
      </c>
      <c r="K41" s="172" t="s">
        <v>140</v>
      </c>
      <c r="L41" s="173"/>
      <c r="M41" s="11" t="s">
        <v>71</v>
      </c>
      <c r="N41" s="172" t="s">
        <v>205</v>
      </c>
      <c r="O41" s="173"/>
      <c r="P41" s="70" t="s">
        <v>110</v>
      </c>
      <c r="Q41" s="26" t="s">
        <v>113</v>
      </c>
      <c r="R41" s="11" t="s">
        <v>203</v>
      </c>
      <c r="S41" s="5" t="s">
        <v>32</v>
      </c>
      <c r="T41" s="5" t="s">
        <v>3</v>
      </c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BG41" s="90"/>
      <c r="BH41" s="90"/>
      <c r="BI41" s="90"/>
      <c r="BJ41" s="90"/>
      <c r="BK41" s="90"/>
      <c r="BL41" s="90"/>
      <c r="BM41" s="90"/>
      <c r="BN41" s="90"/>
      <c r="BO41" s="90"/>
      <c r="BP41" s="90"/>
      <c r="BQ41" s="90"/>
      <c r="BR41" s="90"/>
      <c r="BS41" s="90"/>
      <c r="BT41" s="90"/>
      <c r="BU41" s="90"/>
      <c r="BV41" s="90"/>
      <c r="BW41" s="90"/>
      <c r="BX41" s="90"/>
      <c r="BY41" s="90"/>
      <c r="BZ41" s="90"/>
    </row>
    <row r="42" spans="1:78" s="94" customFormat="1" ht="22.15" customHeight="1" x14ac:dyDescent="0.2">
      <c r="A42" s="92"/>
      <c r="B42" s="169" t="s">
        <v>79</v>
      </c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1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3"/>
      <c r="BG42" s="93"/>
      <c r="BH42" s="93"/>
      <c r="BI42" s="93"/>
      <c r="BJ42" s="93"/>
      <c r="BK42" s="93"/>
      <c r="BL42" s="93"/>
      <c r="BM42" s="93"/>
      <c r="BN42" s="93"/>
      <c r="BO42" s="93"/>
      <c r="BP42" s="93"/>
      <c r="BQ42" s="93"/>
      <c r="BR42" s="93"/>
      <c r="BS42" s="93"/>
      <c r="BT42" s="93"/>
      <c r="BU42" s="93"/>
      <c r="BV42" s="93"/>
      <c r="BW42" s="93"/>
      <c r="BX42" s="93"/>
      <c r="BY42" s="93"/>
      <c r="BZ42" s="93"/>
    </row>
    <row r="43" spans="1:78" s="79" customFormat="1" ht="22.15" customHeight="1" x14ac:dyDescent="0.2">
      <c r="A43" s="95"/>
      <c r="B43" s="59">
        <v>1</v>
      </c>
      <c r="C43" s="107"/>
      <c r="D43" s="59"/>
      <c r="E43" s="52"/>
      <c r="F43" s="52"/>
      <c r="G43" s="52"/>
      <c r="H43" s="52"/>
      <c r="I43" s="52"/>
      <c r="J43" s="52"/>
      <c r="K43" s="52"/>
      <c r="L43" s="52"/>
      <c r="M43" s="54"/>
      <c r="N43" s="54"/>
      <c r="O43" s="53"/>
      <c r="P43" s="53"/>
      <c r="Q43" s="53"/>
      <c r="R43" s="54"/>
      <c r="S43" s="12"/>
      <c r="T43" s="73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8"/>
      <c r="BV43" s="78"/>
      <c r="BW43" s="78"/>
      <c r="BX43" s="78"/>
      <c r="BY43" s="78"/>
      <c r="BZ43" s="78"/>
    </row>
    <row r="44" spans="1:78" s="94" customFormat="1" ht="22.15" customHeight="1" x14ac:dyDescent="0.2">
      <c r="A44" s="92"/>
      <c r="B44" s="169" t="s">
        <v>80</v>
      </c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1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3"/>
      <c r="AU44" s="93"/>
      <c r="AV44" s="93"/>
      <c r="AW44" s="93"/>
      <c r="AX44" s="93"/>
      <c r="AY44" s="93"/>
      <c r="AZ44" s="93"/>
      <c r="BA44" s="93"/>
      <c r="BB44" s="93"/>
      <c r="BC44" s="93"/>
      <c r="BD44" s="93"/>
      <c r="BE44" s="93"/>
      <c r="BF44" s="93"/>
      <c r="BG44" s="93"/>
      <c r="BH44" s="93"/>
      <c r="BI44" s="93"/>
      <c r="BJ44" s="93"/>
      <c r="BK44" s="93"/>
      <c r="BL44" s="93"/>
      <c r="BM44" s="93"/>
      <c r="BN44" s="93"/>
      <c r="BO44" s="93"/>
      <c r="BP44" s="93"/>
      <c r="BQ44" s="93"/>
      <c r="BR44" s="93"/>
      <c r="BS44" s="93"/>
      <c r="BT44" s="93"/>
      <c r="BU44" s="93"/>
      <c r="BV44" s="93"/>
      <c r="BW44" s="93"/>
      <c r="BX44" s="93"/>
      <c r="BY44" s="93"/>
      <c r="BZ44" s="93"/>
    </row>
    <row r="45" spans="1:78" s="79" customFormat="1" ht="22.15" customHeight="1" x14ac:dyDescent="0.2">
      <c r="A45" s="95"/>
      <c r="B45" s="59">
        <v>1</v>
      </c>
      <c r="C45" s="96"/>
      <c r="D45" s="59"/>
      <c r="E45" s="52"/>
      <c r="F45" s="52"/>
      <c r="G45" s="52"/>
      <c r="H45" s="52"/>
      <c r="I45" s="52"/>
      <c r="J45" s="52"/>
      <c r="K45" s="52"/>
      <c r="L45" s="52"/>
      <c r="M45" s="54"/>
      <c r="N45" s="54"/>
      <c r="O45" s="53"/>
      <c r="P45" s="53"/>
      <c r="Q45" s="53"/>
      <c r="R45" s="54"/>
      <c r="S45" s="12"/>
      <c r="T45" s="75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78"/>
      <c r="AZ45" s="78"/>
      <c r="BA45" s="78"/>
      <c r="BB45" s="78"/>
      <c r="BC45" s="78"/>
      <c r="BD45" s="78"/>
      <c r="BE45" s="78"/>
      <c r="BF45" s="78"/>
      <c r="BG45" s="78"/>
      <c r="BH45" s="78"/>
      <c r="BI45" s="78"/>
      <c r="BJ45" s="78"/>
      <c r="BK45" s="78"/>
      <c r="BL45" s="78"/>
      <c r="BM45" s="78"/>
      <c r="BN45" s="78"/>
      <c r="BO45" s="78"/>
      <c r="BP45" s="78"/>
      <c r="BQ45" s="78"/>
      <c r="BR45" s="78"/>
      <c r="BS45" s="78"/>
      <c r="BT45" s="78"/>
      <c r="BU45" s="78"/>
      <c r="BV45" s="78"/>
      <c r="BW45" s="78"/>
      <c r="BX45" s="78"/>
      <c r="BY45" s="78"/>
      <c r="BZ45" s="78"/>
    </row>
    <row r="46" spans="1:78" s="94" customFormat="1" ht="22.15" customHeight="1" x14ac:dyDescent="0.2">
      <c r="A46" s="92"/>
      <c r="B46" s="169" t="s">
        <v>81</v>
      </c>
      <c r="C46" s="17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1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</row>
    <row r="47" spans="1:78" s="79" customFormat="1" ht="22.15" customHeight="1" x14ac:dyDescent="0.2">
      <c r="A47" s="95"/>
      <c r="B47" s="59">
        <v>1</v>
      </c>
      <c r="C47" s="96"/>
      <c r="D47" s="59"/>
      <c r="E47" s="52"/>
      <c r="F47" s="52"/>
      <c r="G47" s="52"/>
      <c r="H47" s="52"/>
      <c r="I47" s="52"/>
      <c r="J47" s="52"/>
      <c r="K47" s="52"/>
      <c r="L47" s="52"/>
      <c r="M47" s="54"/>
      <c r="N47" s="54"/>
      <c r="O47" s="53"/>
      <c r="P47" s="53"/>
      <c r="Q47" s="53"/>
      <c r="R47" s="54"/>
      <c r="S47" s="12"/>
      <c r="T47" s="75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  <c r="BM47" s="78"/>
      <c r="BN47" s="78"/>
      <c r="BO47" s="78"/>
      <c r="BP47" s="78"/>
      <c r="BQ47" s="78"/>
      <c r="BR47" s="78"/>
      <c r="BS47" s="78"/>
      <c r="BT47" s="78"/>
      <c r="BU47" s="78"/>
      <c r="BV47" s="78"/>
      <c r="BW47" s="78"/>
      <c r="BX47" s="78"/>
      <c r="BY47" s="78"/>
      <c r="BZ47" s="78"/>
    </row>
    <row r="48" spans="1:78" s="94" customFormat="1" ht="22.15" customHeight="1" x14ac:dyDescent="0.2">
      <c r="A48" s="92"/>
      <c r="B48" s="169" t="s">
        <v>82</v>
      </c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1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3"/>
      <c r="AX48" s="93"/>
      <c r="AY48" s="93"/>
      <c r="AZ48" s="93"/>
      <c r="BA48" s="93"/>
      <c r="BB48" s="93"/>
      <c r="BC48" s="93"/>
      <c r="BD48" s="93"/>
      <c r="BE48" s="93"/>
      <c r="BF48" s="93"/>
      <c r="BG48" s="93"/>
      <c r="BH48" s="93"/>
      <c r="BI48" s="93"/>
      <c r="BJ48" s="93"/>
      <c r="BK48" s="93"/>
      <c r="BL48" s="93"/>
      <c r="BM48" s="93"/>
      <c r="BN48" s="93"/>
      <c r="BO48" s="93"/>
      <c r="BP48" s="93"/>
      <c r="BQ48" s="93"/>
      <c r="BR48" s="93"/>
      <c r="BS48" s="93"/>
      <c r="BT48" s="93"/>
      <c r="BU48" s="93"/>
      <c r="BV48" s="93"/>
      <c r="BW48" s="93"/>
      <c r="BX48" s="93"/>
      <c r="BY48" s="93"/>
      <c r="BZ48" s="93"/>
    </row>
    <row r="49" spans="1:78" s="79" customFormat="1" ht="22.15" customHeight="1" x14ac:dyDescent="0.2">
      <c r="A49" s="95"/>
      <c r="B49" s="59">
        <v>1</v>
      </c>
      <c r="C49" s="96"/>
      <c r="D49" s="59"/>
      <c r="E49" s="52"/>
      <c r="F49" s="52"/>
      <c r="G49" s="52"/>
      <c r="H49" s="52"/>
      <c r="I49" s="52"/>
      <c r="J49" s="52"/>
      <c r="K49" s="52"/>
      <c r="L49" s="52"/>
      <c r="M49" s="54"/>
      <c r="N49" s="54"/>
      <c r="O49" s="53"/>
      <c r="P49" s="53"/>
      <c r="Q49" s="53"/>
      <c r="R49" s="54" t="str">
        <f>IF(D6="","",D6)</f>
        <v/>
      </c>
      <c r="S49" s="12"/>
      <c r="T49" s="75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78"/>
      <c r="BJ49" s="78"/>
      <c r="BK49" s="78"/>
      <c r="BL49" s="78"/>
      <c r="BM49" s="78"/>
      <c r="BN49" s="78"/>
      <c r="BO49" s="78"/>
      <c r="BP49" s="78"/>
      <c r="BQ49" s="78"/>
      <c r="BR49" s="78"/>
      <c r="BS49" s="78"/>
      <c r="BT49" s="78"/>
      <c r="BU49" s="78"/>
      <c r="BV49" s="78"/>
      <c r="BW49" s="78"/>
      <c r="BX49" s="78"/>
      <c r="BY49" s="78"/>
      <c r="BZ49" s="78"/>
    </row>
    <row r="50" spans="1:78" s="94" customFormat="1" ht="22.15" customHeight="1" x14ac:dyDescent="0.2">
      <c r="A50" s="92"/>
      <c r="B50" s="169" t="s">
        <v>33</v>
      </c>
      <c r="C50" s="17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1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3"/>
      <c r="AU50" s="93"/>
      <c r="AV50" s="93"/>
      <c r="AW50" s="93"/>
      <c r="AX50" s="93"/>
      <c r="AY50" s="93"/>
      <c r="AZ50" s="93"/>
      <c r="BA50" s="93"/>
      <c r="BB50" s="93"/>
      <c r="BC50" s="93"/>
      <c r="BD50" s="93"/>
      <c r="BE50" s="93"/>
      <c r="BF50" s="93"/>
      <c r="BG50" s="93"/>
      <c r="BH50" s="93"/>
      <c r="BI50" s="93"/>
      <c r="BJ50" s="93"/>
      <c r="BK50" s="93"/>
      <c r="BL50" s="93"/>
      <c r="BM50" s="93"/>
      <c r="BN50" s="93"/>
      <c r="BO50" s="93"/>
      <c r="BP50" s="93"/>
      <c r="BQ50" s="93"/>
      <c r="BR50" s="93"/>
      <c r="BS50" s="93"/>
      <c r="BT50" s="93"/>
      <c r="BU50" s="93"/>
      <c r="BV50" s="93"/>
      <c r="BW50" s="93"/>
      <c r="BX50" s="93"/>
      <c r="BY50" s="93"/>
      <c r="BZ50" s="93"/>
    </row>
    <row r="51" spans="1:78" s="79" customFormat="1" ht="22.15" customHeight="1" x14ac:dyDescent="0.2">
      <c r="A51" s="95"/>
      <c r="B51" s="59">
        <v>1</v>
      </c>
      <c r="C51" s="96"/>
      <c r="D51" s="59">
        <v>1</v>
      </c>
      <c r="E51" s="52" t="str">
        <f>IF(B14="","",B14)</f>
        <v>APCL_02</v>
      </c>
      <c r="F51" s="52">
        <f>IF(D14="","",D14)</f>
        <v>5.000000000000001E-3</v>
      </c>
      <c r="G51" s="52" t="s">
        <v>34</v>
      </c>
      <c r="H51" s="52"/>
      <c r="I51" s="52"/>
      <c r="J51" s="52"/>
      <c r="K51" s="52"/>
      <c r="L51" s="52"/>
      <c r="M51" s="54"/>
      <c r="N51" s="54"/>
      <c r="O51" s="53"/>
      <c r="P51" s="53"/>
      <c r="Q51" s="53"/>
      <c r="R51" s="54"/>
      <c r="S51" s="12"/>
      <c r="T51" s="75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8"/>
      <c r="BH51" s="78"/>
      <c r="BI51" s="78"/>
      <c r="BJ51" s="78"/>
      <c r="BK51" s="78"/>
      <c r="BL51" s="78"/>
      <c r="BM51" s="78"/>
      <c r="BN51" s="78"/>
      <c r="BO51" s="78"/>
      <c r="BP51" s="78"/>
      <c r="BQ51" s="78"/>
      <c r="BR51" s="78"/>
      <c r="BS51" s="78"/>
      <c r="BT51" s="78"/>
      <c r="BU51" s="78"/>
      <c r="BV51" s="78"/>
      <c r="BW51" s="78"/>
      <c r="BX51" s="78"/>
      <c r="BY51" s="78"/>
      <c r="BZ51" s="78"/>
    </row>
    <row r="52" spans="1:78" s="79" customFormat="1" ht="22.15" customHeight="1" x14ac:dyDescent="0.2">
      <c r="A52" s="95"/>
      <c r="B52" s="59">
        <v>2</v>
      </c>
      <c r="C52" s="96"/>
      <c r="D52" s="59">
        <v>1</v>
      </c>
      <c r="E52" s="52" t="str">
        <f>IF(B15="","",B15)</f>
        <v>APCL_03</v>
      </c>
      <c r="F52" s="52" t="str">
        <f>IF(D15="","",D15)</f>
        <v/>
      </c>
      <c r="G52" s="52" t="s">
        <v>34</v>
      </c>
      <c r="H52" s="52"/>
      <c r="I52" s="52"/>
      <c r="J52" s="52"/>
      <c r="K52" s="52"/>
      <c r="L52" s="52"/>
      <c r="M52" s="54"/>
      <c r="N52" s="54"/>
      <c r="O52" s="53"/>
      <c r="P52" s="53"/>
      <c r="Q52" s="53"/>
      <c r="R52" s="54"/>
      <c r="S52" s="12"/>
      <c r="T52" s="75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/>
      <c r="BH52" s="78"/>
      <c r="BI52" s="78"/>
      <c r="BJ52" s="78"/>
      <c r="BK52" s="78"/>
      <c r="BL52" s="78"/>
      <c r="BM52" s="78"/>
      <c r="BN52" s="78"/>
      <c r="BO52" s="78"/>
      <c r="BP52" s="78"/>
      <c r="BQ52" s="78"/>
      <c r="BR52" s="78"/>
      <c r="BS52" s="78"/>
      <c r="BT52" s="78"/>
      <c r="BU52" s="78"/>
      <c r="BV52" s="78"/>
      <c r="BW52" s="78"/>
      <c r="BX52" s="78"/>
      <c r="BY52" s="78"/>
      <c r="BZ52" s="78"/>
    </row>
    <row r="53" spans="1:78" s="79" customFormat="1" ht="22.15" customHeight="1" x14ac:dyDescent="0.2">
      <c r="A53" s="95"/>
      <c r="B53" s="59">
        <v>3</v>
      </c>
      <c r="C53" s="97"/>
      <c r="D53" s="98">
        <v>1</v>
      </c>
      <c r="E53" s="52" t="str">
        <f>IF(B16="","",B16)</f>
        <v>APCL_04</v>
      </c>
      <c r="F53" s="52">
        <f>IF(D16="","",D16)</f>
        <v>9.5000000000000001E-2</v>
      </c>
      <c r="G53" s="52" t="s">
        <v>34</v>
      </c>
      <c r="H53" s="52"/>
      <c r="I53" s="52"/>
      <c r="J53" s="52"/>
      <c r="K53" s="52"/>
      <c r="L53" s="52"/>
      <c r="M53" s="54"/>
      <c r="N53" s="54"/>
      <c r="O53" s="54"/>
      <c r="P53" s="54"/>
      <c r="Q53" s="54"/>
      <c r="R53" s="54"/>
      <c r="S53" s="12"/>
      <c r="T53" s="75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8"/>
      <c r="BH53" s="78"/>
      <c r="BI53" s="78"/>
      <c r="BJ53" s="78"/>
      <c r="BK53" s="78"/>
      <c r="BL53" s="78"/>
      <c r="BM53" s="78"/>
      <c r="BN53" s="78"/>
      <c r="BO53" s="78"/>
      <c r="BP53" s="78"/>
      <c r="BQ53" s="78"/>
      <c r="BR53" s="78"/>
      <c r="BS53" s="78"/>
      <c r="BT53" s="78"/>
      <c r="BU53" s="78"/>
      <c r="BV53" s="78"/>
      <c r="BW53" s="78"/>
      <c r="BX53" s="78"/>
      <c r="BY53" s="78"/>
      <c r="BZ53" s="78"/>
    </row>
    <row r="54" spans="1:78" s="94" customFormat="1" ht="22.15" customHeight="1" x14ac:dyDescent="0.2">
      <c r="A54" s="92"/>
      <c r="B54" s="169" t="s">
        <v>35</v>
      </c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1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  <c r="AO54" s="93"/>
      <c r="AP54" s="93"/>
      <c r="AQ54" s="93"/>
      <c r="AR54" s="93"/>
      <c r="AS54" s="93"/>
      <c r="AT54" s="93"/>
      <c r="AU54" s="93"/>
      <c r="AV54" s="93"/>
      <c r="AW54" s="93"/>
      <c r="AX54" s="93"/>
      <c r="AY54" s="93"/>
      <c r="AZ54" s="93"/>
      <c r="BA54" s="93"/>
      <c r="BB54" s="93"/>
      <c r="BC54" s="93"/>
      <c r="BD54" s="93"/>
      <c r="BE54" s="93"/>
      <c r="BF54" s="93"/>
      <c r="BG54" s="93"/>
      <c r="BH54" s="93"/>
      <c r="BI54" s="93"/>
      <c r="BJ54" s="93"/>
      <c r="BK54" s="93"/>
      <c r="BL54" s="93"/>
      <c r="BM54" s="93"/>
      <c r="BN54" s="93"/>
      <c r="BO54" s="93"/>
      <c r="BP54" s="93"/>
      <c r="BQ54" s="93"/>
      <c r="BR54" s="93"/>
      <c r="BS54" s="93"/>
      <c r="BT54" s="93"/>
      <c r="BU54" s="93"/>
      <c r="BV54" s="93"/>
      <c r="BW54" s="93"/>
      <c r="BX54" s="93"/>
      <c r="BY54" s="93"/>
      <c r="BZ54" s="93"/>
    </row>
    <row r="55" spans="1:78" s="79" customFormat="1" ht="22.15" customHeight="1" x14ac:dyDescent="0.2">
      <c r="A55" s="95"/>
      <c r="B55" s="99" t="s">
        <v>72</v>
      </c>
      <c r="C55" s="96"/>
      <c r="D55" s="59">
        <v>3</v>
      </c>
      <c r="E55" s="52" t="str">
        <f>IF(B14="","",B14)</f>
        <v>APCL_02</v>
      </c>
      <c r="F55" s="52">
        <f>IF(D14="","",D14)</f>
        <v>5.000000000000001E-3</v>
      </c>
      <c r="G55" s="52" t="s">
        <v>34</v>
      </c>
      <c r="H55" s="52"/>
      <c r="I55" s="52"/>
      <c r="J55" s="52"/>
      <c r="K55" s="52"/>
      <c r="L55" s="52"/>
      <c r="M55" s="54"/>
      <c r="N55" s="54"/>
      <c r="O55" s="58"/>
      <c r="P55" s="58"/>
      <c r="Q55" s="58"/>
      <c r="R55" s="54"/>
      <c r="S55" s="12"/>
      <c r="T55" s="75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78"/>
      <c r="BQ55" s="78"/>
      <c r="BR55" s="78"/>
      <c r="BS55" s="78"/>
      <c r="BT55" s="78"/>
      <c r="BU55" s="78"/>
      <c r="BV55" s="78"/>
      <c r="BW55" s="78"/>
      <c r="BX55" s="78"/>
      <c r="BY55" s="78"/>
      <c r="BZ55" s="78"/>
    </row>
    <row r="56" spans="1:78" s="79" customFormat="1" ht="22.15" customHeight="1" x14ac:dyDescent="0.2">
      <c r="A56" s="95"/>
      <c r="B56" s="99" t="s">
        <v>73</v>
      </c>
      <c r="C56" s="97"/>
      <c r="D56" s="98">
        <v>4</v>
      </c>
      <c r="E56" s="52" t="str">
        <f>IF(B14="","",B14)</f>
        <v>APCL_02</v>
      </c>
      <c r="F56" s="52">
        <f>IF(D14="","",D14)</f>
        <v>5.000000000000001E-3</v>
      </c>
      <c r="G56" s="52" t="s">
        <v>34</v>
      </c>
      <c r="H56" s="52"/>
      <c r="I56" s="52"/>
      <c r="J56" s="52"/>
      <c r="K56" s="52"/>
      <c r="L56" s="55"/>
      <c r="M56" s="56"/>
      <c r="N56" s="54"/>
      <c r="O56" s="58"/>
      <c r="P56" s="58"/>
      <c r="Q56" s="58"/>
      <c r="R56" s="54"/>
      <c r="S56" s="12"/>
      <c r="T56" s="76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8"/>
      <c r="BM56" s="78"/>
      <c r="BN56" s="78"/>
      <c r="BO56" s="78"/>
      <c r="BP56" s="78"/>
      <c r="BQ56" s="78"/>
      <c r="BR56" s="78"/>
      <c r="BS56" s="78"/>
      <c r="BT56" s="78"/>
      <c r="BU56" s="78"/>
      <c r="BV56" s="78"/>
      <c r="BW56" s="78"/>
      <c r="BX56" s="78"/>
      <c r="BY56" s="78"/>
      <c r="BZ56" s="78"/>
    </row>
    <row r="57" spans="1:78" s="79" customFormat="1" ht="22.15" customHeight="1" x14ac:dyDescent="0.2">
      <c r="A57" s="95"/>
      <c r="B57" s="99" t="s">
        <v>74</v>
      </c>
      <c r="C57" s="97"/>
      <c r="D57" s="98">
        <v>3</v>
      </c>
      <c r="E57" s="52" t="str">
        <f>IF(B15="","",B15)</f>
        <v>APCL_03</v>
      </c>
      <c r="F57" s="52" t="str">
        <f>IF(D15="","",D15)</f>
        <v/>
      </c>
      <c r="G57" s="52" t="s">
        <v>34</v>
      </c>
      <c r="H57" s="52"/>
      <c r="I57" s="52"/>
      <c r="J57" s="52"/>
      <c r="K57" s="52"/>
      <c r="L57" s="55"/>
      <c r="M57" s="56"/>
      <c r="N57" s="54"/>
      <c r="O57" s="57"/>
      <c r="P57" s="57"/>
      <c r="Q57" s="57"/>
      <c r="R57" s="54"/>
      <c r="S57" s="12"/>
      <c r="T57" s="76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</row>
    <row r="58" spans="1:78" s="79" customFormat="1" ht="22.15" customHeight="1" x14ac:dyDescent="0.2">
      <c r="A58" s="95"/>
      <c r="B58" s="99" t="s">
        <v>75</v>
      </c>
      <c r="C58" s="97"/>
      <c r="D58" s="98">
        <v>4</v>
      </c>
      <c r="E58" s="52" t="str">
        <f>IF(B15="","",B15)</f>
        <v>APCL_03</v>
      </c>
      <c r="F58" s="52" t="str">
        <f>IF(D15="","",D15)</f>
        <v/>
      </c>
      <c r="G58" s="52" t="s">
        <v>34</v>
      </c>
      <c r="H58" s="52"/>
      <c r="I58" s="55"/>
      <c r="J58" s="55"/>
      <c r="K58" s="55"/>
      <c r="L58" s="55"/>
      <c r="M58" s="56"/>
      <c r="N58" s="56"/>
      <c r="O58" s="74"/>
      <c r="P58" s="74"/>
      <c r="Q58" s="74"/>
      <c r="R58" s="56"/>
      <c r="S58" s="12"/>
      <c r="T58" s="76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8"/>
      <c r="BC58" s="78"/>
      <c r="BD58" s="78"/>
      <c r="BE58" s="78"/>
      <c r="BF58" s="78"/>
      <c r="BG58" s="78"/>
      <c r="BH58" s="78"/>
      <c r="BI58" s="78"/>
      <c r="BJ58" s="78"/>
      <c r="BK58" s="78"/>
      <c r="BL58" s="78"/>
      <c r="BM58" s="78"/>
      <c r="BN58" s="78"/>
      <c r="BO58" s="78"/>
      <c r="BP58" s="78"/>
      <c r="BQ58" s="78"/>
      <c r="BR58" s="78"/>
      <c r="BS58" s="78"/>
      <c r="BT58" s="78"/>
      <c r="BU58" s="78"/>
      <c r="BV58" s="78"/>
      <c r="BW58" s="78"/>
      <c r="BX58" s="78"/>
      <c r="BY58" s="78"/>
      <c r="BZ58" s="78"/>
    </row>
    <row r="59" spans="1:78" s="79" customFormat="1" ht="22.15" customHeight="1" x14ac:dyDescent="0.2">
      <c r="A59" s="95"/>
      <c r="B59" s="100" t="s">
        <v>207</v>
      </c>
      <c r="C59" s="101"/>
      <c r="D59" s="102">
        <v>3</v>
      </c>
      <c r="E59" s="80" t="str">
        <f>IF(B16="","",B16)</f>
        <v>APCL_04</v>
      </c>
      <c r="F59" s="80">
        <f>IF(D16="","",D16)</f>
        <v>9.5000000000000001E-2</v>
      </c>
      <c r="G59" s="80" t="s">
        <v>34</v>
      </c>
      <c r="H59" s="80"/>
      <c r="I59" s="81"/>
      <c r="J59" s="81"/>
      <c r="K59" s="81"/>
      <c r="L59" s="81"/>
      <c r="M59" s="82"/>
      <c r="N59" s="82"/>
      <c r="O59" s="82"/>
      <c r="P59" s="82"/>
      <c r="Q59" s="82"/>
      <c r="R59" s="82"/>
      <c r="S59" s="83"/>
      <c r="T59" s="84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  <c r="BI59" s="78"/>
      <c r="BJ59" s="78"/>
      <c r="BK59" s="78"/>
      <c r="BL59" s="78"/>
      <c r="BM59" s="78"/>
      <c r="BN59" s="78"/>
      <c r="BO59" s="78"/>
      <c r="BP59" s="78"/>
      <c r="BQ59" s="78"/>
      <c r="BR59" s="78"/>
      <c r="BS59" s="78"/>
      <c r="BT59" s="78"/>
      <c r="BU59" s="78"/>
      <c r="BV59" s="78"/>
      <c r="BW59" s="78"/>
      <c r="BX59" s="78"/>
      <c r="BY59" s="78"/>
      <c r="BZ59" s="78"/>
    </row>
    <row r="60" spans="1:78" s="79" customFormat="1" ht="22.15" customHeight="1" x14ac:dyDescent="0.2">
      <c r="A60" s="95"/>
      <c r="B60" s="100" t="s">
        <v>208</v>
      </c>
      <c r="C60" s="103"/>
      <c r="D60" s="104">
        <v>4</v>
      </c>
      <c r="E60" s="80" t="str">
        <f>IF(B16="","",B16)</f>
        <v>APCL_04</v>
      </c>
      <c r="F60" s="80">
        <f>IF(D16="","",D16)</f>
        <v>9.5000000000000001E-2</v>
      </c>
      <c r="G60" s="80" t="s">
        <v>34</v>
      </c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5"/>
      <c r="T60" s="86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8"/>
      <c r="BI60" s="78"/>
      <c r="BJ60" s="78"/>
      <c r="BK60" s="78"/>
      <c r="BL60" s="78"/>
      <c r="BM60" s="78"/>
      <c r="BN60" s="78"/>
      <c r="BO60" s="78"/>
      <c r="BP60" s="78"/>
      <c r="BQ60" s="78"/>
      <c r="BR60" s="78"/>
      <c r="BS60" s="78"/>
      <c r="BT60" s="78"/>
      <c r="BU60" s="78"/>
      <c r="BV60" s="78"/>
      <c r="BW60" s="78"/>
      <c r="BX60" s="78"/>
      <c r="BY60" s="78"/>
      <c r="BZ60" s="78"/>
    </row>
    <row r="61" spans="1:78" s="94" customFormat="1" ht="22.15" customHeight="1" x14ac:dyDescent="0.2">
      <c r="A61" s="92"/>
      <c r="B61" s="166" t="s">
        <v>83</v>
      </c>
      <c r="C61" s="167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8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93"/>
      <c r="AY61" s="93"/>
      <c r="AZ61" s="93"/>
      <c r="BA61" s="93"/>
      <c r="BB61" s="93"/>
      <c r="BC61" s="93"/>
      <c r="BD61" s="93"/>
      <c r="BE61" s="93"/>
      <c r="BF61" s="93"/>
      <c r="BG61" s="93"/>
      <c r="BH61" s="93"/>
      <c r="BI61" s="93"/>
      <c r="BJ61" s="93"/>
      <c r="BK61" s="93"/>
      <c r="BL61" s="93"/>
      <c r="BM61" s="93"/>
      <c r="BN61" s="93"/>
      <c r="BO61" s="93"/>
      <c r="BP61" s="93"/>
      <c r="BQ61" s="93"/>
      <c r="BR61" s="93"/>
      <c r="BS61" s="93"/>
      <c r="BT61" s="93"/>
      <c r="BU61" s="93"/>
      <c r="BV61" s="93"/>
      <c r="BW61" s="93"/>
      <c r="BX61" s="93"/>
      <c r="BY61" s="93"/>
      <c r="BZ61" s="93"/>
    </row>
    <row r="62" spans="1:78" s="79" customFormat="1" ht="22.15" customHeight="1" x14ac:dyDescent="0.2">
      <c r="A62" s="95"/>
      <c r="B62" s="104">
        <v>1</v>
      </c>
      <c r="C62" s="103"/>
      <c r="D62" s="104"/>
      <c r="E62" s="80"/>
      <c r="F62" s="80"/>
      <c r="G62" s="80"/>
      <c r="H62" s="80"/>
      <c r="I62" s="80"/>
      <c r="J62" s="80"/>
      <c r="K62" s="80"/>
      <c r="L62" s="80"/>
      <c r="M62" s="87"/>
      <c r="N62" s="87"/>
      <c r="O62" s="88"/>
      <c r="P62" s="88"/>
      <c r="Q62" s="88"/>
      <c r="R62" s="87"/>
      <c r="S62" s="83"/>
      <c r="T62" s="86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J62" s="78"/>
      <c r="BK62" s="78"/>
      <c r="BL62" s="78"/>
      <c r="BM62" s="78"/>
      <c r="BN62" s="78"/>
      <c r="BO62" s="78"/>
      <c r="BP62" s="78"/>
      <c r="BQ62" s="78"/>
      <c r="BR62" s="78"/>
      <c r="BS62" s="78"/>
      <c r="BT62" s="78"/>
      <c r="BU62" s="78"/>
      <c r="BV62" s="78"/>
      <c r="BW62" s="78"/>
      <c r="BX62" s="78"/>
      <c r="BY62" s="78"/>
      <c r="BZ62" s="78"/>
    </row>
    <row r="63" spans="1:78" s="94" customFormat="1" ht="22.15" customHeight="1" x14ac:dyDescent="0.2">
      <c r="A63" s="92"/>
      <c r="B63" s="166" t="s">
        <v>112</v>
      </c>
      <c r="C63" s="167"/>
      <c r="D63" s="167"/>
      <c r="E63" s="167"/>
      <c r="F63" s="167"/>
      <c r="G63" s="167"/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68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  <c r="AY63" s="93"/>
      <c r="AZ63" s="93"/>
      <c r="BA63" s="93"/>
      <c r="BB63" s="93"/>
      <c r="BC63" s="93"/>
      <c r="BD63" s="93"/>
      <c r="BE63" s="93"/>
      <c r="BF63" s="93"/>
      <c r="BG63" s="93"/>
      <c r="BH63" s="93"/>
      <c r="BI63" s="93"/>
      <c r="BJ63" s="93"/>
      <c r="BK63" s="93"/>
      <c r="BL63" s="93"/>
      <c r="BM63" s="93"/>
      <c r="BN63" s="93"/>
      <c r="BO63" s="93"/>
      <c r="BP63" s="93"/>
      <c r="BQ63" s="93"/>
      <c r="BR63" s="93"/>
      <c r="BS63" s="93"/>
      <c r="BT63" s="93"/>
      <c r="BU63" s="93"/>
      <c r="BV63" s="93"/>
      <c r="BW63" s="93"/>
      <c r="BX63" s="93"/>
      <c r="BY63" s="93"/>
      <c r="BZ63" s="93"/>
    </row>
    <row r="64" spans="1:78" s="79" customFormat="1" ht="22.15" customHeight="1" x14ac:dyDescent="0.2">
      <c r="A64" s="95"/>
      <c r="B64" s="104">
        <v>1</v>
      </c>
      <c r="C64" s="103"/>
      <c r="D64" s="104"/>
      <c r="E64" s="80"/>
      <c r="F64" s="80"/>
      <c r="G64" s="80"/>
      <c r="H64" s="80"/>
      <c r="I64" s="80"/>
      <c r="J64" s="80"/>
      <c r="K64" s="80"/>
      <c r="L64" s="80"/>
      <c r="M64" s="87"/>
      <c r="N64" s="87"/>
      <c r="O64" s="88"/>
      <c r="P64" s="88"/>
      <c r="Q64" s="88"/>
      <c r="R64" s="87"/>
      <c r="S64" s="83"/>
      <c r="T64" s="86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  <c r="BM64" s="78"/>
      <c r="BN64" s="78"/>
      <c r="BO64" s="78"/>
      <c r="BP64" s="78"/>
      <c r="BQ64" s="78"/>
      <c r="BR64" s="78"/>
      <c r="BS64" s="78"/>
      <c r="BT64" s="78"/>
      <c r="BU64" s="78"/>
      <c r="BV64" s="78"/>
      <c r="BW64" s="78"/>
      <c r="BX64" s="78"/>
      <c r="BY64" s="78"/>
      <c r="BZ64" s="78"/>
    </row>
    <row r="65" spans="1:78" s="94" customFormat="1" ht="22.15" customHeight="1" x14ac:dyDescent="0.2">
      <c r="A65" s="92"/>
      <c r="B65" s="166" t="s">
        <v>84</v>
      </c>
      <c r="C65" s="167"/>
      <c r="D65" s="167"/>
      <c r="E65" s="167"/>
      <c r="F65" s="167"/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67"/>
      <c r="S65" s="167"/>
      <c r="T65" s="168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/>
      <c r="BB65" s="93"/>
      <c r="BC65" s="93"/>
      <c r="BD65" s="93"/>
      <c r="BE65" s="93"/>
      <c r="BF65" s="93"/>
      <c r="BG65" s="93"/>
      <c r="BH65" s="93"/>
      <c r="BI65" s="93"/>
      <c r="BJ65" s="93"/>
      <c r="BK65" s="93"/>
      <c r="BL65" s="93"/>
      <c r="BM65" s="93"/>
      <c r="BN65" s="93"/>
      <c r="BO65" s="93"/>
      <c r="BP65" s="93"/>
      <c r="BQ65" s="93"/>
      <c r="BR65" s="93"/>
      <c r="BS65" s="93"/>
      <c r="BT65" s="93"/>
      <c r="BU65" s="93"/>
      <c r="BV65" s="93"/>
      <c r="BW65" s="93"/>
      <c r="BX65" s="93"/>
      <c r="BY65" s="93"/>
      <c r="BZ65" s="93"/>
    </row>
    <row r="66" spans="1:78" s="79" customFormat="1" ht="22.15" customHeight="1" x14ac:dyDescent="0.2">
      <c r="A66" s="95"/>
      <c r="B66" s="104">
        <v>1</v>
      </c>
      <c r="C66" s="103"/>
      <c r="D66" s="104"/>
      <c r="E66" s="80"/>
      <c r="F66" s="80"/>
      <c r="G66" s="80"/>
      <c r="H66" s="80"/>
      <c r="I66" s="80"/>
      <c r="J66" s="80"/>
      <c r="K66" s="80"/>
      <c r="L66" s="80"/>
      <c r="M66" s="87"/>
      <c r="N66" s="87"/>
      <c r="O66" s="88"/>
      <c r="P66" s="88"/>
      <c r="Q66" s="88"/>
      <c r="R66" s="87"/>
      <c r="S66" s="83"/>
      <c r="T66" s="86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78"/>
      <c r="BN66" s="78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</row>
    <row r="67" spans="1:78" s="94" customFormat="1" ht="22.15" customHeight="1" x14ac:dyDescent="0.2">
      <c r="A67" s="92"/>
      <c r="B67" s="166" t="s">
        <v>36</v>
      </c>
      <c r="C67" s="167"/>
      <c r="D67" s="167"/>
      <c r="E67" s="167"/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167"/>
      <c r="Q67" s="167"/>
      <c r="R67" s="167"/>
      <c r="S67" s="167"/>
      <c r="T67" s="168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/>
      <c r="AT67" s="93"/>
      <c r="AU67" s="93"/>
      <c r="AV67" s="93"/>
      <c r="AW67" s="93"/>
      <c r="AX67" s="93"/>
      <c r="AY67" s="93"/>
      <c r="AZ67" s="93"/>
      <c r="BA67" s="93"/>
      <c r="BB67" s="93"/>
      <c r="BC67" s="93"/>
      <c r="BD67" s="93"/>
      <c r="BE67" s="93"/>
      <c r="BF67" s="93"/>
      <c r="BG67" s="93"/>
      <c r="BH67" s="93"/>
      <c r="BI67" s="93"/>
      <c r="BJ67" s="93"/>
      <c r="BK67" s="93"/>
      <c r="BL67" s="93"/>
      <c r="BM67" s="93"/>
      <c r="BN67" s="93"/>
      <c r="BO67" s="93"/>
      <c r="BP67" s="93"/>
      <c r="BQ67" s="93"/>
      <c r="BR67" s="93"/>
      <c r="BS67" s="93"/>
      <c r="BT67" s="93"/>
      <c r="BU67" s="93"/>
      <c r="BV67" s="93"/>
      <c r="BW67" s="93"/>
      <c r="BX67" s="93"/>
      <c r="BY67" s="93"/>
      <c r="BZ67" s="93"/>
    </row>
    <row r="68" spans="1:78" s="79" customFormat="1" ht="22.15" customHeight="1" x14ac:dyDescent="0.2">
      <c r="A68" s="95"/>
      <c r="B68" s="99" t="s">
        <v>72</v>
      </c>
      <c r="C68" s="101"/>
      <c r="D68" s="102">
        <v>2</v>
      </c>
      <c r="E68" s="80" t="str">
        <f>IF(B15="","",B15)</f>
        <v>APCL_03</v>
      </c>
      <c r="F68" s="81" t="str">
        <f>IF(D15="","",D15)</f>
        <v/>
      </c>
      <c r="G68" s="81" t="s">
        <v>37</v>
      </c>
      <c r="H68" s="80"/>
      <c r="I68" s="81"/>
      <c r="J68" s="81"/>
      <c r="K68" s="81"/>
      <c r="L68" s="81"/>
      <c r="M68" s="82"/>
      <c r="N68" s="82"/>
      <c r="O68" s="82"/>
      <c r="P68" s="82"/>
      <c r="Q68" s="82"/>
      <c r="R68" s="82"/>
      <c r="S68" s="83"/>
      <c r="T68" s="84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  <c r="BM68" s="78"/>
      <c r="BN68" s="78"/>
      <c r="BO68" s="78"/>
      <c r="BP68" s="78"/>
      <c r="BQ68" s="78"/>
      <c r="BR68" s="78"/>
      <c r="BS68" s="78"/>
      <c r="BT68" s="78"/>
      <c r="BU68" s="78"/>
      <c r="BV68" s="78"/>
      <c r="BW68" s="78"/>
      <c r="BX68" s="78"/>
      <c r="BY68" s="78"/>
      <c r="BZ68" s="78"/>
    </row>
    <row r="69" spans="1:78" s="79" customFormat="1" ht="22.15" customHeight="1" x14ac:dyDescent="0.2">
      <c r="A69" s="95"/>
      <c r="B69" s="99" t="s">
        <v>73</v>
      </c>
      <c r="C69" s="103"/>
      <c r="D69" s="104">
        <v>4</v>
      </c>
      <c r="E69" s="80" t="str">
        <f>IF(B15="","",B15)</f>
        <v>APCL_03</v>
      </c>
      <c r="F69" s="80" t="str">
        <f>IF(D15="","",D15)</f>
        <v/>
      </c>
      <c r="G69" s="81" t="s">
        <v>37</v>
      </c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5"/>
      <c r="T69" s="86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  <c r="AU69" s="78"/>
      <c r="AV69" s="78"/>
      <c r="AW69" s="78"/>
      <c r="AX69" s="78"/>
      <c r="AY69" s="78"/>
      <c r="AZ69" s="78"/>
      <c r="BA69" s="78"/>
      <c r="BB69" s="78"/>
      <c r="BC69" s="78"/>
      <c r="BD69" s="78"/>
      <c r="BE69" s="78"/>
      <c r="BF69" s="78"/>
      <c r="BG69" s="78"/>
      <c r="BH69" s="78"/>
      <c r="BI69" s="78"/>
      <c r="BJ69" s="78"/>
      <c r="BK69" s="78"/>
      <c r="BL69" s="78"/>
      <c r="BM69" s="78"/>
      <c r="BN69" s="78"/>
      <c r="BO69" s="78"/>
      <c r="BP69" s="78"/>
      <c r="BQ69" s="78"/>
      <c r="BR69" s="78"/>
      <c r="BS69" s="78"/>
      <c r="BT69" s="78"/>
      <c r="BU69" s="78"/>
      <c r="BV69" s="78"/>
      <c r="BW69" s="78"/>
      <c r="BX69" s="78"/>
      <c r="BY69" s="78"/>
      <c r="BZ69" s="78"/>
    </row>
    <row r="70" spans="1:78" s="94" customFormat="1" ht="22.15" customHeight="1" x14ac:dyDescent="0.2">
      <c r="A70" s="92"/>
      <c r="B70" s="169" t="s">
        <v>38</v>
      </c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1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  <c r="AO70" s="93"/>
      <c r="AP70" s="93"/>
      <c r="AQ70" s="93"/>
      <c r="AR70" s="93"/>
      <c r="AS70" s="93"/>
      <c r="AT70" s="93"/>
      <c r="AU70" s="93"/>
      <c r="AV70" s="93"/>
      <c r="AW70" s="93"/>
      <c r="AX70" s="93"/>
      <c r="AY70" s="93"/>
      <c r="AZ70" s="93"/>
      <c r="BA70" s="93"/>
      <c r="BB70" s="93"/>
      <c r="BC70" s="93"/>
      <c r="BD70" s="93"/>
      <c r="BE70" s="93"/>
      <c r="BF70" s="93"/>
      <c r="BG70" s="93"/>
      <c r="BH70" s="93"/>
      <c r="BI70" s="93"/>
      <c r="BJ70" s="93"/>
      <c r="BK70" s="93"/>
      <c r="BL70" s="93"/>
      <c r="BM70" s="93"/>
      <c r="BN70" s="93"/>
      <c r="BO70" s="93"/>
      <c r="BP70" s="93"/>
      <c r="BQ70" s="93"/>
      <c r="BR70" s="93"/>
      <c r="BS70" s="93"/>
      <c r="BT70" s="93"/>
      <c r="BU70" s="93"/>
      <c r="BV70" s="93"/>
      <c r="BW70" s="93"/>
      <c r="BX70" s="93"/>
      <c r="BY70" s="93"/>
      <c r="BZ70" s="93"/>
    </row>
    <row r="71" spans="1:78" s="79" customFormat="1" ht="22.15" customHeight="1" x14ac:dyDescent="0.2">
      <c r="A71" s="95"/>
      <c r="B71" s="99" t="s">
        <v>72</v>
      </c>
      <c r="C71" s="97"/>
      <c r="D71" s="98"/>
      <c r="E71" s="52"/>
      <c r="F71" s="55"/>
      <c r="G71" s="55"/>
      <c r="H71" s="52"/>
      <c r="I71" s="55"/>
      <c r="J71" s="55">
        <v>3</v>
      </c>
      <c r="K71" s="52" t="str">
        <f>IF(B26="","",B26)</f>
        <v>FCAPL_03</v>
      </c>
      <c r="L71" s="55" t="str">
        <f>IF(D26="","",D26)</f>
        <v/>
      </c>
      <c r="M71" s="56"/>
      <c r="N71" s="56"/>
      <c r="O71" s="56"/>
      <c r="P71" s="56"/>
      <c r="Q71" s="56"/>
      <c r="R71" s="56"/>
      <c r="S71" s="12"/>
      <c r="T71" s="76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  <c r="BM71" s="78"/>
      <c r="BN71" s="78"/>
      <c r="BO71" s="78"/>
      <c r="BP71" s="78"/>
      <c r="BQ71" s="78"/>
      <c r="BR71" s="78"/>
      <c r="BS71" s="78"/>
      <c r="BT71" s="78"/>
      <c r="BU71" s="78"/>
      <c r="BV71" s="78"/>
      <c r="BW71" s="78"/>
      <c r="BX71" s="78"/>
      <c r="BY71" s="78"/>
      <c r="BZ71" s="78"/>
    </row>
    <row r="72" spans="1:78" s="79" customFormat="1" ht="22.15" customHeight="1" x14ac:dyDescent="0.2">
      <c r="A72" s="95"/>
      <c r="B72" s="99" t="s">
        <v>73</v>
      </c>
      <c r="C72" s="96"/>
      <c r="D72" s="59">
        <v>4</v>
      </c>
      <c r="E72" s="52" t="str">
        <f>IF(B15="","",B15)</f>
        <v>APCL_03</v>
      </c>
      <c r="F72" s="52" t="str">
        <f>IF(D15="","",D15)</f>
        <v/>
      </c>
      <c r="G72" s="55" t="s">
        <v>37</v>
      </c>
      <c r="H72" s="52"/>
      <c r="I72" s="52"/>
      <c r="J72" s="52">
        <v>5</v>
      </c>
      <c r="K72" s="52" t="str">
        <f>IF(B26="","",B26)</f>
        <v>FCAPL_03</v>
      </c>
      <c r="L72" s="52" t="str">
        <f>IF(D26="","",D26)</f>
        <v/>
      </c>
      <c r="M72" s="52"/>
      <c r="N72" s="52"/>
      <c r="O72" s="52"/>
      <c r="P72" s="52"/>
      <c r="Q72" s="52"/>
      <c r="R72" s="52"/>
      <c r="S72" s="73"/>
      <c r="T72" s="75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78"/>
      <c r="BD72" s="78"/>
      <c r="BE72" s="78"/>
      <c r="BF72" s="78"/>
      <c r="BG72" s="78"/>
      <c r="BH72" s="78"/>
      <c r="BI72" s="78"/>
      <c r="BJ72" s="78"/>
      <c r="BK72" s="78"/>
      <c r="BL72" s="78"/>
      <c r="BM72" s="78"/>
      <c r="BN72" s="78"/>
      <c r="BO72" s="78"/>
      <c r="BP72" s="78"/>
      <c r="BQ72" s="78"/>
      <c r="BR72" s="78"/>
      <c r="BS72" s="78"/>
      <c r="BT72" s="78"/>
      <c r="BU72" s="78"/>
      <c r="BV72" s="78"/>
      <c r="BW72" s="78"/>
      <c r="BX72" s="78"/>
      <c r="BY72" s="78"/>
      <c r="BZ72" s="78"/>
    </row>
    <row r="73" spans="1:78" s="94" customFormat="1" ht="22.15" customHeight="1" x14ac:dyDescent="0.2">
      <c r="A73" s="92"/>
      <c r="B73" s="169" t="s">
        <v>39</v>
      </c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70"/>
      <c r="S73" s="170"/>
      <c r="T73" s="171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  <c r="AO73" s="93"/>
      <c r="AP73" s="93"/>
      <c r="AQ73" s="93"/>
      <c r="AR73" s="93"/>
      <c r="AS73" s="93"/>
      <c r="AT73" s="93"/>
      <c r="AU73" s="93"/>
      <c r="AV73" s="93"/>
      <c r="AW73" s="93"/>
      <c r="AX73" s="93"/>
      <c r="AY73" s="93"/>
      <c r="AZ73" s="93"/>
      <c r="BA73" s="93"/>
      <c r="BB73" s="93"/>
      <c r="BC73" s="93"/>
      <c r="BD73" s="93"/>
      <c r="BE73" s="93"/>
      <c r="BF73" s="93"/>
      <c r="BG73" s="93"/>
      <c r="BH73" s="93"/>
      <c r="BI73" s="93"/>
      <c r="BJ73" s="93"/>
      <c r="BK73" s="93"/>
      <c r="BL73" s="93"/>
      <c r="BM73" s="93"/>
      <c r="BN73" s="93"/>
      <c r="BO73" s="93"/>
      <c r="BP73" s="93"/>
      <c r="BQ73" s="93"/>
      <c r="BR73" s="93"/>
      <c r="BS73" s="93"/>
      <c r="BT73" s="93"/>
      <c r="BU73" s="93"/>
      <c r="BV73" s="93"/>
      <c r="BW73" s="93"/>
      <c r="BX73" s="93"/>
      <c r="BY73" s="93"/>
      <c r="BZ73" s="93"/>
    </row>
    <row r="74" spans="1:78" s="79" customFormat="1" ht="22.15" customHeight="1" x14ac:dyDescent="0.2">
      <c r="A74" s="95"/>
      <c r="B74" s="99" t="s">
        <v>72</v>
      </c>
      <c r="C74" s="97"/>
      <c r="D74" s="98">
        <v>3</v>
      </c>
      <c r="E74" s="52" t="str">
        <f>IF(B18="","",B18)</f>
        <v>APCL_06</v>
      </c>
      <c r="F74" s="55">
        <f>IF(D18="","",D18)</f>
        <v>-1000</v>
      </c>
      <c r="G74" s="17"/>
      <c r="H74" s="52"/>
      <c r="I74" s="55"/>
      <c r="J74" s="55">
        <v>4</v>
      </c>
      <c r="K74" s="52" t="str">
        <f>IF(B29="","",B29)</f>
        <v>FCAPL_06</v>
      </c>
      <c r="L74" s="55">
        <f>IF(D29="","",D29)</f>
        <v>-1000</v>
      </c>
      <c r="M74" s="56"/>
      <c r="N74" s="56"/>
      <c r="O74" s="56"/>
      <c r="P74" s="56"/>
      <c r="Q74" s="56"/>
      <c r="R74" s="56"/>
      <c r="S74" s="12"/>
      <c r="T74" s="76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78"/>
      <c r="BT74" s="78"/>
      <c r="BU74" s="78"/>
      <c r="BV74" s="78"/>
      <c r="BW74" s="78"/>
      <c r="BX74" s="78"/>
      <c r="BY74" s="78"/>
      <c r="BZ74" s="78"/>
    </row>
    <row r="75" spans="1:78" s="79" customFormat="1" ht="22.15" customHeight="1" x14ac:dyDescent="0.2">
      <c r="A75" s="95"/>
      <c r="B75" s="99" t="s">
        <v>73</v>
      </c>
      <c r="C75" s="97"/>
      <c r="D75" s="98"/>
      <c r="E75" s="52"/>
      <c r="F75" s="55"/>
      <c r="G75" s="55"/>
      <c r="H75" s="52"/>
      <c r="I75" s="55"/>
      <c r="J75" s="55">
        <v>5</v>
      </c>
      <c r="K75" s="52" t="str">
        <f>IF(B26="","",B26)</f>
        <v>FCAPL_03</v>
      </c>
      <c r="L75" s="55" t="str">
        <f>IF(D26="","",D26)</f>
        <v/>
      </c>
      <c r="M75" s="56"/>
      <c r="N75" s="56"/>
      <c r="O75" s="56"/>
      <c r="P75" s="56"/>
      <c r="Q75" s="56"/>
      <c r="R75" s="56"/>
      <c r="S75" s="12"/>
      <c r="T75" s="76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78"/>
      <c r="BH75" s="78"/>
      <c r="BI75" s="78"/>
      <c r="BJ75" s="78"/>
      <c r="BK75" s="78"/>
      <c r="BL75" s="78"/>
      <c r="BM75" s="78"/>
      <c r="BN75" s="78"/>
      <c r="BO75" s="78"/>
      <c r="BP75" s="78"/>
      <c r="BQ75" s="78"/>
      <c r="BR75" s="78"/>
      <c r="BS75" s="78"/>
      <c r="BT75" s="78"/>
      <c r="BU75" s="78"/>
      <c r="BV75" s="78"/>
      <c r="BW75" s="78"/>
      <c r="BX75" s="78"/>
      <c r="BY75" s="78"/>
      <c r="BZ75" s="78"/>
    </row>
    <row r="76" spans="1:78" s="94" customFormat="1" ht="22.15" customHeight="1" x14ac:dyDescent="0.2">
      <c r="A76" s="92"/>
      <c r="B76" s="178" t="s">
        <v>42</v>
      </c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80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  <c r="AO76" s="93"/>
      <c r="AP76" s="93"/>
      <c r="AQ76" s="93"/>
      <c r="AR76" s="93"/>
      <c r="AS76" s="93"/>
      <c r="AT76" s="93"/>
      <c r="AU76" s="93"/>
      <c r="AV76" s="93"/>
      <c r="AW76" s="93"/>
      <c r="AX76" s="93"/>
      <c r="AY76" s="93"/>
      <c r="AZ76" s="93"/>
      <c r="BA76" s="93"/>
      <c r="BB76" s="93"/>
      <c r="BC76" s="93"/>
      <c r="BD76" s="93"/>
      <c r="BE76" s="93"/>
      <c r="BF76" s="93"/>
      <c r="BG76" s="93"/>
      <c r="BH76" s="93"/>
      <c r="BI76" s="93"/>
      <c r="BJ76" s="93"/>
      <c r="BK76" s="93"/>
      <c r="BL76" s="93"/>
      <c r="BM76" s="93"/>
      <c r="BN76" s="93"/>
      <c r="BO76" s="93"/>
      <c r="BP76" s="93"/>
      <c r="BQ76" s="93"/>
      <c r="BR76" s="93"/>
      <c r="BS76" s="93"/>
      <c r="BT76" s="93"/>
      <c r="BU76" s="93"/>
      <c r="BV76" s="93"/>
      <c r="BW76" s="93"/>
      <c r="BX76" s="93"/>
      <c r="BY76" s="93"/>
      <c r="BZ76" s="93"/>
    </row>
    <row r="77" spans="1:78" s="79" customFormat="1" ht="22.15" customHeight="1" x14ac:dyDescent="0.2">
      <c r="A77" s="95"/>
      <c r="B77" s="59">
        <v>1</v>
      </c>
      <c r="C77" s="97"/>
      <c r="D77" s="98">
        <v>4</v>
      </c>
      <c r="E77" s="52" t="str">
        <f>IF(B15="","",B15)</f>
        <v>APCL_03</v>
      </c>
      <c r="F77" s="55" t="str">
        <f>IF(D15="","",D15)</f>
        <v/>
      </c>
      <c r="G77" s="55" t="s">
        <v>37</v>
      </c>
      <c r="H77" s="52"/>
      <c r="I77" s="55"/>
      <c r="J77" s="55"/>
      <c r="K77" s="55"/>
      <c r="L77" s="55"/>
      <c r="M77" s="56">
        <v>3</v>
      </c>
      <c r="N77" s="56" t="str">
        <f>IF(B34="","",B34)</f>
        <v>FCAPL_DUR_02</v>
      </c>
      <c r="O77" s="56" t="str">
        <f>IF(D34="","",D34)</f>
        <v/>
      </c>
      <c r="P77" s="56"/>
      <c r="Q77" s="56"/>
      <c r="R77" s="56"/>
      <c r="S77" s="12"/>
      <c r="T77" s="76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78"/>
      <c r="AV77" s="78"/>
      <c r="AW77" s="78"/>
      <c r="AX77" s="78"/>
      <c r="AY77" s="78"/>
      <c r="AZ77" s="78"/>
      <c r="BA77" s="78"/>
      <c r="BB77" s="78"/>
      <c r="BC77" s="78"/>
      <c r="BD77" s="78"/>
      <c r="BE77" s="78"/>
      <c r="BF77" s="78"/>
      <c r="BG77" s="78"/>
      <c r="BH77" s="78"/>
      <c r="BI77" s="78"/>
      <c r="BJ77" s="78"/>
      <c r="BK77" s="78"/>
      <c r="BL77" s="78"/>
      <c r="BM77" s="78"/>
      <c r="BN77" s="78"/>
      <c r="BO77" s="78"/>
      <c r="BP77" s="78"/>
      <c r="BQ77" s="78"/>
      <c r="BR77" s="78"/>
      <c r="BS77" s="78"/>
      <c r="BT77" s="78"/>
      <c r="BU77" s="78"/>
      <c r="BV77" s="78"/>
      <c r="BW77" s="78"/>
      <c r="BX77" s="78"/>
      <c r="BY77" s="78"/>
      <c r="BZ77" s="78"/>
    </row>
    <row r="78" spans="1:78" s="94" customFormat="1" ht="22.15" customHeight="1" x14ac:dyDescent="0.2">
      <c r="A78" s="92"/>
      <c r="B78" s="169" t="s">
        <v>43</v>
      </c>
      <c r="C78" s="170"/>
      <c r="D78" s="170"/>
      <c r="E78" s="170"/>
      <c r="F78" s="170"/>
      <c r="G78" s="170"/>
      <c r="H78" s="170"/>
      <c r="I78" s="170"/>
      <c r="J78" s="170"/>
      <c r="K78" s="170"/>
      <c r="L78" s="170"/>
      <c r="M78" s="170"/>
      <c r="N78" s="170"/>
      <c r="O78" s="170"/>
      <c r="P78" s="170"/>
      <c r="Q78" s="170"/>
      <c r="R78" s="170"/>
      <c r="S78" s="170"/>
      <c r="T78" s="171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  <c r="AO78" s="93"/>
      <c r="AP78" s="93"/>
      <c r="AQ78" s="93"/>
      <c r="AR78" s="93"/>
      <c r="AS78" s="93"/>
      <c r="AT78" s="93"/>
      <c r="AU78" s="93"/>
      <c r="AV78" s="93"/>
      <c r="AW78" s="93"/>
      <c r="AX78" s="93"/>
      <c r="AY78" s="93"/>
      <c r="AZ78" s="93"/>
      <c r="BA78" s="93"/>
      <c r="BB78" s="93"/>
      <c r="BC78" s="93"/>
      <c r="BD78" s="93"/>
      <c r="BE78" s="93"/>
      <c r="BF78" s="93"/>
      <c r="BG78" s="93"/>
      <c r="BH78" s="93"/>
      <c r="BI78" s="93"/>
      <c r="BJ78" s="93"/>
      <c r="BK78" s="93"/>
      <c r="BL78" s="93"/>
      <c r="BM78" s="93"/>
      <c r="BN78" s="93"/>
      <c r="BO78" s="93"/>
      <c r="BP78" s="93"/>
      <c r="BQ78" s="93"/>
      <c r="BR78" s="93"/>
      <c r="BS78" s="93"/>
      <c r="BT78" s="93"/>
      <c r="BU78" s="93"/>
      <c r="BV78" s="93"/>
      <c r="BW78" s="93"/>
      <c r="BX78" s="93"/>
      <c r="BY78" s="93"/>
      <c r="BZ78" s="93"/>
    </row>
    <row r="79" spans="1:78" s="79" customFormat="1" ht="22.15" customHeight="1" x14ac:dyDescent="0.2">
      <c r="A79" s="95"/>
      <c r="B79" s="59">
        <v>1</v>
      </c>
      <c r="C79" s="97"/>
      <c r="D79" s="98">
        <v>3</v>
      </c>
      <c r="E79" s="52" t="str">
        <f>IF(B15="","",B15)</f>
        <v>APCL_03</v>
      </c>
      <c r="F79" s="55" t="str">
        <f>IF(D15="","",D15)</f>
        <v/>
      </c>
      <c r="G79" s="55" t="s">
        <v>37</v>
      </c>
      <c r="H79" s="52"/>
      <c r="I79" s="55"/>
      <c r="J79" s="55"/>
      <c r="K79" s="55"/>
      <c r="L79" s="55"/>
      <c r="M79" s="56">
        <v>4</v>
      </c>
      <c r="N79" s="56" t="str">
        <f>IF(B35="","",B35)</f>
        <v>FCAPL_DUR_03</v>
      </c>
      <c r="O79" s="56">
        <f>IF(D35="","",D35)</f>
        <v>0</v>
      </c>
      <c r="P79" s="56"/>
      <c r="Q79" s="56"/>
      <c r="R79" s="56"/>
      <c r="S79" s="12"/>
      <c r="T79" s="76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78"/>
      <c r="AU79" s="78"/>
      <c r="AV79" s="78"/>
      <c r="AW79" s="78"/>
      <c r="AX79" s="78"/>
      <c r="AY79" s="78"/>
      <c r="AZ79" s="78"/>
      <c r="BA79" s="78"/>
      <c r="BB79" s="78"/>
      <c r="BC79" s="78"/>
      <c r="BD79" s="78"/>
      <c r="BE79" s="78"/>
      <c r="BF79" s="78"/>
      <c r="BG79" s="78"/>
      <c r="BH79" s="78"/>
      <c r="BI79" s="78"/>
      <c r="BJ79" s="78"/>
      <c r="BK79" s="78"/>
      <c r="BL79" s="78"/>
      <c r="BM79" s="78"/>
      <c r="BN79" s="78"/>
      <c r="BO79" s="78"/>
      <c r="BP79" s="78"/>
      <c r="BQ79" s="78"/>
      <c r="BR79" s="78"/>
      <c r="BS79" s="78"/>
      <c r="BT79" s="78"/>
      <c r="BU79" s="78"/>
      <c r="BV79" s="78"/>
      <c r="BW79" s="78"/>
      <c r="BX79" s="78"/>
      <c r="BY79" s="78"/>
      <c r="BZ79" s="78"/>
    </row>
    <row r="80" spans="1:78" s="94" customFormat="1" ht="22.15" customHeight="1" x14ac:dyDescent="0.2">
      <c r="A80" s="92"/>
      <c r="B80" s="169" t="s">
        <v>45</v>
      </c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1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  <c r="AO80" s="93"/>
      <c r="AP80" s="93"/>
      <c r="AQ80" s="93"/>
      <c r="AR80" s="93"/>
      <c r="AS80" s="93"/>
      <c r="AT80" s="93"/>
      <c r="AU80" s="93"/>
      <c r="AV80" s="93"/>
      <c r="AW80" s="93"/>
      <c r="AX80" s="93"/>
      <c r="AY80" s="93"/>
      <c r="AZ80" s="93"/>
      <c r="BA80" s="93"/>
      <c r="BB80" s="93"/>
      <c r="BC80" s="93"/>
      <c r="BD80" s="93"/>
      <c r="BE80" s="93"/>
      <c r="BF80" s="93"/>
      <c r="BG80" s="93"/>
      <c r="BH80" s="93"/>
      <c r="BI80" s="93"/>
      <c r="BJ80" s="93"/>
      <c r="BK80" s="93"/>
      <c r="BL80" s="93"/>
      <c r="BM80" s="93"/>
      <c r="BN80" s="93"/>
      <c r="BO80" s="93"/>
      <c r="BP80" s="93"/>
      <c r="BQ80" s="93"/>
      <c r="BR80" s="93"/>
      <c r="BS80" s="93"/>
      <c r="BT80" s="93"/>
      <c r="BU80" s="93"/>
      <c r="BV80" s="93"/>
      <c r="BW80" s="93"/>
      <c r="BX80" s="93"/>
      <c r="BY80" s="93"/>
      <c r="BZ80" s="93"/>
    </row>
    <row r="81" spans="1:78" s="79" customFormat="1" ht="22.15" customHeight="1" x14ac:dyDescent="0.2">
      <c r="A81" s="95"/>
      <c r="B81" s="59">
        <v>1</v>
      </c>
      <c r="C81" s="97"/>
      <c r="D81" s="98">
        <v>3</v>
      </c>
      <c r="E81" s="52" t="str">
        <f>IF(B17="","",B17)</f>
        <v>APCL_05</v>
      </c>
      <c r="F81" s="55">
        <f>IF(D17="","",D17)</f>
        <v>0.10500000000000001</v>
      </c>
      <c r="G81" s="52" t="s">
        <v>34</v>
      </c>
      <c r="H81" s="52" t="s">
        <v>12</v>
      </c>
      <c r="I81" s="55" t="s">
        <v>76</v>
      </c>
      <c r="J81" s="55"/>
      <c r="K81" s="55"/>
      <c r="L81" s="55"/>
      <c r="M81" s="56"/>
      <c r="N81" s="56"/>
      <c r="O81" s="56"/>
      <c r="P81" s="56"/>
      <c r="Q81" s="56"/>
      <c r="R81" s="56"/>
      <c r="S81" s="12"/>
      <c r="T81" s="76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78"/>
      <c r="AU81" s="78"/>
      <c r="AV81" s="78"/>
      <c r="AW81" s="78"/>
      <c r="AX81" s="78"/>
      <c r="AY81" s="78"/>
      <c r="AZ81" s="78"/>
      <c r="BA81" s="78"/>
      <c r="BB81" s="78"/>
      <c r="BC81" s="78"/>
      <c r="BD81" s="78"/>
      <c r="BE81" s="78"/>
      <c r="BF81" s="78"/>
      <c r="BG81" s="78"/>
      <c r="BH81" s="78"/>
      <c r="BI81" s="78"/>
      <c r="BJ81" s="78"/>
      <c r="BK81" s="78"/>
      <c r="BL81" s="78"/>
      <c r="BM81" s="78"/>
      <c r="BN81" s="78"/>
      <c r="BO81" s="78"/>
      <c r="BP81" s="78"/>
      <c r="BQ81" s="78"/>
      <c r="BR81" s="78"/>
      <c r="BS81" s="78"/>
      <c r="BT81" s="78"/>
      <c r="BU81" s="78"/>
      <c r="BV81" s="78"/>
      <c r="BW81" s="78"/>
      <c r="BX81" s="78"/>
      <c r="BY81" s="78"/>
      <c r="BZ81" s="78"/>
    </row>
    <row r="82" spans="1:78" s="94" customFormat="1" ht="22.15" customHeight="1" x14ac:dyDescent="0.2">
      <c r="A82" s="92"/>
      <c r="B82" s="169" t="s">
        <v>44</v>
      </c>
      <c r="C82" s="170"/>
      <c r="D82" s="170"/>
      <c r="E82" s="170"/>
      <c r="F82" s="170"/>
      <c r="G82" s="170"/>
      <c r="H82" s="170"/>
      <c r="I82" s="170"/>
      <c r="J82" s="170"/>
      <c r="K82" s="170"/>
      <c r="L82" s="170"/>
      <c r="M82" s="170"/>
      <c r="N82" s="170"/>
      <c r="O82" s="170"/>
      <c r="P82" s="170"/>
      <c r="Q82" s="170"/>
      <c r="R82" s="170"/>
      <c r="S82" s="170"/>
      <c r="T82" s="171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  <c r="AO82" s="93"/>
      <c r="AP82" s="93"/>
      <c r="AQ82" s="93"/>
      <c r="AR82" s="93"/>
      <c r="AS82" s="93"/>
      <c r="AT82" s="93"/>
      <c r="AU82" s="93"/>
      <c r="AV82" s="93"/>
      <c r="AW82" s="93"/>
      <c r="AX82" s="93"/>
      <c r="AY82" s="93"/>
      <c r="AZ82" s="93"/>
      <c r="BA82" s="93"/>
      <c r="BB82" s="93"/>
      <c r="BC82" s="93"/>
      <c r="BD82" s="93"/>
      <c r="BE82" s="93"/>
      <c r="BF82" s="93"/>
      <c r="BG82" s="93"/>
      <c r="BH82" s="93"/>
      <c r="BI82" s="93"/>
      <c r="BJ82" s="93"/>
      <c r="BK82" s="93"/>
      <c r="BL82" s="93"/>
      <c r="BM82" s="93"/>
      <c r="BN82" s="93"/>
      <c r="BO82" s="93"/>
      <c r="BP82" s="93"/>
      <c r="BQ82" s="93"/>
      <c r="BR82" s="93"/>
      <c r="BS82" s="93"/>
      <c r="BT82" s="93"/>
      <c r="BU82" s="93"/>
      <c r="BV82" s="93"/>
      <c r="BW82" s="93"/>
      <c r="BX82" s="93"/>
      <c r="BY82" s="93"/>
      <c r="BZ82" s="93"/>
    </row>
    <row r="83" spans="1:78" s="79" customFormat="1" ht="22.15" customHeight="1" x14ac:dyDescent="0.2">
      <c r="A83" s="95"/>
      <c r="B83" s="99" t="s">
        <v>72</v>
      </c>
      <c r="C83" s="97"/>
      <c r="D83" s="98">
        <v>3</v>
      </c>
      <c r="E83" s="52" t="str">
        <f>IF(B15="","",B15)</f>
        <v>APCL_03</v>
      </c>
      <c r="F83" s="55" t="str">
        <f>IF(D15="","",D15)</f>
        <v/>
      </c>
      <c r="G83" s="52" t="s">
        <v>37</v>
      </c>
      <c r="H83" s="52"/>
      <c r="I83" s="55"/>
      <c r="J83" s="55"/>
      <c r="K83" s="89"/>
      <c r="L83" s="89"/>
      <c r="M83" s="89"/>
      <c r="N83" s="89"/>
      <c r="O83" s="89"/>
      <c r="P83" s="56"/>
      <c r="Q83" s="56"/>
      <c r="R83" s="56"/>
      <c r="S83" s="12"/>
      <c r="T83" s="76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78"/>
      <c r="BH83" s="78"/>
      <c r="BI83" s="78"/>
      <c r="BJ83" s="78"/>
      <c r="BK83" s="78"/>
      <c r="BL83" s="78"/>
      <c r="BM83" s="78"/>
      <c r="BN83" s="78"/>
      <c r="BO83" s="78"/>
      <c r="BP83" s="78"/>
      <c r="BQ83" s="78"/>
      <c r="BR83" s="78"/>
      <c r="BS83" s="78"/>
      <c r="BT83" s="78"/>
      <c r="BU83" s="78"/>
      <c r="BV83" s="78"/>
      <c r="BW83" s="78"/>
      <c r="BX83" s="78"/>
      <c r="BY83" s="78"/>
      <c r="BZ83" s="78"/>
    </row>
    <row r="84" spans="1:78" s="79" customFormat="1" ht="22.15" customHeight="1" x14ac:dyDescent="0.2">
      <c r="A84" s="95"/>
      <c r="B84" s="99" t="s">
        <v>73</v>
      </c>
      <c r="C84" s="97"/>
      <c r="D84" s="98">
        <v>4</v>
      </c>
      <c r="E84" s="52" t="str">
        <f>IF(B13="","",B13)</f>
        <v>APCL_01</v>
      </c>
      <c r="F84" s="55">
        <f>IF(D13="","",D13)</f>
        <v>0</v>
      </c>
      <c r="G84" s="52" t="s">
        <v>34</v>
      </c>
      <c r="H84" s="52"/>
      <c r="I84" s="55"/>
      <c r="J84" s="55"/>
      <c r="K84" s="89"/>
      <c r="L84" s="89"/>
      <c r="M84" s="89"/>
      <c r="N84" s="89"/>
      <c r="O84" s="89"/>
      <c r="P84" s="56"/>
      <c r="Q84" s="56"/>
      <c r="R84" s="56"/>
      <c r="S84" s="12"/>
      <c r="T84" s="76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  <c r="AY84" s="78"/>
      <c r="AZ84" s="78"/>
      <c r="BA84" s="78"/>
      <c r="BB84" s="78"/>
      <c r="BC84" s="78"/>
      <c r="BD84" s="78"/>
      <c r="BE84" s="78"/>
      <c r="BF84" s="78"/>
      <c r="BG84" s="78"/>
      <c r="BH84" s="78"/>
      <c r="BI84" s="78"/>
      <c r="BJ84" s="78"/>
      <c r="BK84" s="78"/>
      <c r="BL84" s="78"/>
      <c r="BM84" s="78"/>
      <c r="BN84" s="78"/>
      <c r="BO84" s="78"/>
      <c r="BP84" s="78"/>
      <c r="BQ84" s="78"/>
      <c r="BR84" s="78"/>
      <c r="BS84" s="78"/>
      <c r="BT84" s="78"/>
      <c r="BU84" s="78"/>
      <c r="BV84" s="78"/>
      <c r="BW84" s="78"/>
      <c r="BX84" s="78"/>
      <c r="BY84" s="78"/>
      <c r="BZ84" s="78"/>
    </row>
    <row r="85" spans="1:78" s="79" customFormat="1" ht="22.15" customHeight="1" x14ac:dyDescent="0.2">
      <c r="A85" s="95"/>
      <c r="B85" s="99" t="s">
        <v>74</v>
      </c>
      <c r="C85" s="97"/>
      <c r="D85" s="98">
        <v>3</v>
      </c>
      <c r="E85" s="52" t="str">
        <f>IF(B15="","",B15)</f>
        <v>APCL_03</v>
      </c>
      <c r="F85" s="55" t="str">
        <f>IF(D15="","",D15)</f>
        <v/>
      </c>
      <c r="G85" s="52" t="s">
        <v>37</v>
      </c>
      <c r="H85" s="52"/>
      <c r="I85" s="55"/>
      <c r="J85" s="55"/>
      <c r="K85" s="89"/>
      <c r="L85" s="89"/>
      <c r="M85" s="89"/>
      <c r="N85" s="89"/>
      <c r="O85" s="89"/>
      <c r="P85" s="56"/>
      <c r="Q85" s="56"/>
      <c r="R85" s="56"/>
      <c r="S85" s="12"/>
      <c r="T85" s="76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78"/>
      <c r="BY85" s="78"/>
      <c r="BZ85" s="78"/>
    </row>
    <row r="86" spans="1:78" s="79" customFormat="1" ht="22.15" customHeight="1" x14ac:dyDescent="0.2">
      <c r="A86" s="95"/>
      <c r="B86" s="99" t="s">
        <v>75</v>
      </c>
      <c r="C86" s="97"/>
      <c r="D86" s="98">
        <v>4</v>
      </c>
      <c r="E86" s="52" t="str">
        <f>IF(B14="","",B14)</f>
        <v>APCL_02</v>
      </c>
      <c r="F86" s="55">
        <f>IF(D14="","",D14)</f>
        <v>5.000000000000001E-3</v>
      </c>
      <c r="G86" s="52" t="s">
        <v>34</v>
      </c>
      <c r="H86" s="52"/>
      <c r="I86" s="55"/>
      <c r="J86" s="55"/>
      <c r="K86" s="89"/>
      <c r="L86" s="89"/>
      <c r="M86" s="89"/>
      <c r="N86" s="89"/>
      <c r="O86" s="89"/>
      <c r="P86" s="56"/>
      <c r="Q86" s="56"/>
      <c r="R86" s="56"/>
      <c r="S86" s="12"/>
      <c r="T86" s="76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78"/>
      <c r="BJ86" s="78"/>
      <c r="BK86" s="78"/>
      <c r="BL86" s="78"/>
      <c r="BM86" s="78"/>
      <c r="BN86" s="78"/>
      <c r="BO86" s="78"/>
      <c r="BP86" s="78"/>
      <c r="BQ86" s="78"/>
      <c r="BR86" s="78"/>
      <c r="BS86" s="78"/>
      <c r="BT86" s="78"/>
      <c r="BU86" s="78"/>
      <c r="BV86" s="78"/>
      <c r="BW86" s="78"/>
      <c r="BX86" s="78"/>
      <c r="BY86" s="78"/>
      <c r="BZ86" s="78"/>
    </row>
    <row r="87" spans="1:78" s="79" customFormat="1" ht="22.15" customHeight="1" x14ac:dyDescent="0.2">
      <c r="A87" s="95"/>
      <c r="B87" s="99" t="s">
        <v>207</v>
      </c>
      <c r="C87" s="97"/>
      <c r="D87" s="98">
        <v>3</v>
      </c>
      <c r="E87" s="52" t="str">
        <f>IF(B15="","",B15)</f>
        <v>APCL_03</v>
      </c>
      <c r="F87" s="55" t="str">
        <f>IF(D15="","",D15)</f>
        <v/>
      </c>
      <c r="G87" s="52" t="s">
        <v>37</v>
      </c>
      <c r="H87" s="52"/>
      <c r="I87" s="55"/>
      <c r="J87" s="55"/>
      <c r="K87" s="89"/>
      <c r="L87" s="89"/>
      <c r="M87" s="89"/>
      <c r="N87" s="89"/>
      <c r="O87" s="89"/>
      <c r="P87" s="56"/>
      <c r="Q87" s="56"/>
      <c r="R87" s="56"/>
      <c r="S87" s="12"/>
      <c r="T87" s="76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I87" s="78"/>
      <c r="BJ87" s="78"/>
      <c r="BK87" s="78"/>
      <c r="BL87" s="78"/>
      <c r="BM87" s="78"/>
      <c r="BN87" s="78"/>
      <c r="BO87" s="78"/>
      <c r="BP87" s="78"/>
      <c r="BQ87" s="78"/>
      <c r="BR87" s="78"/>
      <c r="BS87" s="78"/>
      <c r="BT87" s="78"/>
      <c r="BU87" s="78"/>
      <c r="BV87" s="78"/>
      <c r="BW87" s="78"/>
      <c r="BX87" s="78"/>
      <c r="BY87" s="78"/>
      <c r="BZ87" s="78"/>
    </row>
    <row r="88" spans="1:78" s="79" customFormat="1" ht="22.15" customHeight="1" x14ac:dyDescent="0.2">
      <c r="A88" s="95"/>
      <c r="B88" s="99" t="s">
        <v>208</v>
      </c>
      <c r="C88" s="97"/>
      <c r="D88" s="98">
        <v>4</v>
      </c>
      <c r="E88" s="52" t="str">
        <f>IF(B15="","",B15)</f>
        <v>APCL_03</v>
      </c>
      <c r="F88" s="55" t="str">
        <f>IF(D15="","",D15)</f>
        <v/>
      </c>
      <c r="G88" s="52" t="s">
        <v>34</v>
      </c>
      <c r="H88" s="52"/>
      <c r="I88" s="55"/>
      <c r="J88" s="55"/>
      <c r="K88" s="89"/>
      <c r="L88" s="89"/>
      <c r="M88" s="89"/>
      <c r="N88" s="89"/>
      <c r="O88" s="89"/>
      <c r="P88" s="56"/>
      <c r="Q88" s="56"/>
      <c r="R88" s="56"/>
      <c r="S88" s="12"/>
      <c r="T88" s="76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  <c r="AN88" s="78"/>
      <c r="AO88" s="78"/>
      <c r="AP88" s="78"/>
      <c r="AQ88" s="78"/>
      <c r="AR88" s="78"/>
      <c r="AS88" s="78"/>
      <c r="AT88" s="78"/>
      <c r="AU88" s="78"/>
      <c r="AV88" s="78"/>
      <c r="AW88" s="78"/>
      <c r="AX88" s="78"/>
      <c r="AY88" s="78"/>
      <c r="AZ88" s="78"/>
      <c r="BA88" s="78"/>
      <c r="BB88" s="78"/>
      <c r="BC88" s="78"/>
      <c r="BD88" s="78"/>
      <c r="BE88" s="78"/>
      <c r="BF88" s="78"/>
      <c r="BG88" s="78"/>
      <c r="BH88" s="78"/>
      <c r="BI88" s="78"/>
      <c r="BJ88" s="78"/>
      <c r="BK88" s="78"/>
      <c r="BL88" s="78"/>
      <c r="BM88" s="78"/>
      <c r="BN88" s="78"/>
      <c r="BO88" s="78"/>
      <c r="BP88" s="78"/>
      <c r="BQ88" s="78"/>
      <c r="BR88" s="78"/>
      <c r="BS88" s="78"/>
      <c r="BT88" s="78"/>
      <c r="BU88" s="78"/>
      <c r="BV88" s="78"/>
      <c r="BW88" s="78"/>
      <c r="BX88" s="78"/>
      <c r="BY88" s="78"/>
      <c r="BZ88" s="78"/>
    </row>
    <row r="89" spans="1:78" s="79" customFormat="1" ht="22.15" customHeight="1" x14ac:dyDescent="0.2">
      <c r="A89" s="95"/>
      <c r="B89" s="99" t="s">
        <v>209</v>
      </c>
      <c r="C89" s="97"/>
      <c r="D89" s="98">
        <v>3</v>
      </c>
      <c r="E89" s="52" t="str">
        <f>IF(B15="","",B15)</f>
        <v>APCL_03</v>
      </c>
      <c r="F89" s="55" t="str">
        <f>IF(D15="","",D15)</f>
        <v/>
      </c>
      <c r="G89" s="52" t="s">
        <v>37</v>
      </c>
      <c r="H89" s="52"/>
      <c r="I89" s="55"/>
      <c r="J89" s="55"/>
      <c r="K89" s="89"/>
      <c r="L89" s="89"/>
      <c r="M89" s="89"/>
      <c r="N89" s="89"/>
      <c r="O89" s="89"/>
      <c r="P89" s="56"/>
      <c r="Q89" s="56"/>
      <c r="R89" s="56"/>
      <c r="S89" s="12"/>
      <c r="T89" s="76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78"/>
      <c r="AU89" s="78"/>
      <c r="AV89" s="78"/>
      <c r="AW89" s="78"/>
      <c r="AX89" s="78"/>
      <c r="AY89" s="78"/>
      <c r="AZ89" s="78"/>
      <c r="BA89" s="78"/>
      <c r="BB89" s="78"/>
      <c r="BC89" s="78"/>
      <c r="BD89" s="78"/>
      <c r="BE89" s="78"/>
      <c r="BF89" s="78"/>
      <c r="BG89" s="78"/>
      <c r="BH89" s="78"/>
      <c r="BI89" s="78"/>
      <c r="BJ89" s="78"/>
      <c r="BK89" s="78"/>
      <c r="BL89" s="78"/>
      <c r="BM89" s="78"/>
      <c r="BN89" s="78"/>
      <c r="BO89" s="78"/>
      <c r="BP89" s="78"/>
      <c r="BQ89" s="78"/>
      <c r="BR89" s="78"/>
      <c r="BS89" s="78"/>
      <c r="BT89" s="78"/>
      <c r="BU89" s="78"/>
      <c r="BV89" s="78"/>
      <c r="BW89" s="78"/>
      <c r="BX89" s="78"/>
      <c r="BY89" s="78"/>
      <c r="BZ89" s="78"/>
    </row>
    <row r="90" spans="1:78" s="79" customFormat="1" ht="22.15" customHeight="1" x14ac:dyDescent="0.2">
      <c r="A90" s="95"/>
      <c r="B90" s="99" t="s">
        <v>210</v>
      </c>
      <c r="C90" s="97"/>
      <c r="D90" s="98">
        <v>4</v>
      </c>
      <c r="E90" s="52" t="str">
        <f>IF(B16="","",B16)</f>
        <v>APCL_04</v>
      </c>
      <c r="F90" s="55">
        <f>IF(D16="","",D16)</f>
        <v>9.5000000000000001E-2</v>
      </c>
      <c r="G90" s="52" t="s">
        <v>34</v>
      </c>
      <c r="H90" s="52"/>
      <c r="I90" s="55"/>
      <c r="J90" s="55"/>
      <c r="K90" s="89"/>
      <c r="L90" s="89"/>
      <c r="M90" s="89"/>
      <c r="N90" s="89"/>
      <c r="O90" s="89"/>
      <c r="P90" s="56"/>
      <c r="Q90" s="56"/>
      <c r="R90" s="56"/>
      <c r="S90" s="12"/>
      <c r="T90" s="76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78"/>
      <c r="AL90" s="78"/>
      <c r="AM90" s="78"/>
      <c r="AN90" s="78"/>
      <c r="AO90" s="78"/>
      <c r="AP90" s="78"/>
      <c r="AQ90" s="78"/>
      <c r="AR90" s="78"/>
      <c r="AS90" s="78"/>
      <c r="AT90" s="78"/>
      <c r="AU90" s="78"/>
      <c r="AV90" s="78"/>
      <c r="AW90" s="78"/>
      <c r="AX90" s="78"/>
      <c r="AY90" s="78"/>
      <c r="AZ90" s="78"/>
      <c r="BA90" s="78"/>
      <c r="BB90" s="78"/>
      <c r="BC90" s="78"/>
      <c r="BD90" s="78"/>
      <c r="BE90" s="78"/>
      <c r="BF90" s="78"/>
      <c r="BG90" s="78"/>
      <c r="BH90" s="78"/>
      <c r="BI90" s="78"/>
      <c r="BJ90" s="78"/>
      <c r="BK90" s="78"/>
      <c r="BL90" s="78"/>
      <c r="BM90" s="78"/>
      <c r="BN90" s="78"/>
      <c r="BO90" s="78"/>
      <c r="BP90" s="78"/>
      <c r="BQ90" s="78"/>
      <c r="BR90" s="78"/>
      <c r="BS90" s="78"/>
      <c r="BT90" s="78"/>
      <c r="BU90" s="78"/>
      <c r="BV90" s="78"/>
      <c r="BW90" s="78"/>
      <c r="BX90" s="78"/>
      <c r="BY90" s="78"/>
      <c r="BZ90" s="78"/>
    </row>
    <row r="91" spans="1:78" s="79" customFormat="1" ht="22.15" customHeight="1" x14ac:dyDescent="0.2">
      <c r="A91" s="95"/>
      <c r="B91" s="99" t="s">
        <v>211</v>
      </c>
      <c r="C91" s="97"/>
      <c r="D91" s="98">
        <v>3</v>
      </c>
      <c r="E91" s="52" t="str">
        <f>IF(B15="","",B15)</f>
        <v>APCL_03</v>
      </c>
      <c r="F91" s="55" t="str">
        <f>IF(D15="","",D15)</f>
        <v/>
      </c>
      <c r="G91" s="52" t="s">
        <v>37</v>
      </c>
      <c r="H91" s="52"/>
      <c r="I91" s="55"/>
      <c r="J91" s="55"/>
      <c r="K91" s="89"/>
      <c r="L91" s="89"/>
      <c r="M91" s="89"/>
      <c r="N91" s="89"/>
      <c r="O91" s="89"/>
      <c r="P91" s="56"/>
      <c r="Q91" s="56"/>
      <c r="R91" s="56"/>
      <c r="S91" s="12"/>
      <c r="T91" s="76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8"/>
      <c r="AS91" s="78"/>
      <c r="AT91" s="78"/>
      <c r="AU91" s="78"/>
      <c r="AV91" s="78"/>
      <c r="AW91" s="78"/>
      <c r="AX91" s="78"/>
      <c r="AY91" s="78"/>
      <c r="AZ91" s="78"/>
      <c r="BA91" s="78"/>
      <c r="BB91" s="78"/>
      <c r="BC91" s="78"/>
      <c r="BD91" s="78"/>
      <c r="BE91" s="78"/>
      <c r="BF91" s="78"/>
      <c r="BG91" s="78"/>
      <c r="BH91" s="78"/>
      <c r="BI91" s="78"/>
      <c r="BJ91" s="78"/>
      <c r="BK91" s="78"/>
      <c r="BL91" s="78"/>
      <c r="BM91" s="78"/>
      <c r="BN91" s="78"/>
      <c r="BO91" s="78"/>
      <c r="BP91" s="78"/>
      <c r="BQ91" s="78"/>
      <c r="BR91" s="78"/>
      <c r="BS91" s="78"/>
      <c r="BT91" s="78"/>
      <c r="BU91" s="78"/>
      <c r="BV91" s="78"/>
      <c r="BW91" s="78"/>
      <c r="BX91" s="78"/>
      <c r="BY91" s="78"/>
      <c r="BZ91" s="78"/>
    </row>
    <row r="92" spans="1:78" s="79" customFormat="1" ht="22.15" customHeight="1" x14ac:dyDescent="0.2">
      <c r="A92" s="95"/>
      <c r="B92" s="99" t="s">
        <v>212</v>
      </c>
      <c r="C92" s="96"/>
      <c r="D92" s="59">
        <v>4</v>
      </c>
      <c r="E92" s="52" t="str">
        <f>IF(B17="","",B17)</f>
        <v>APCL_05</v>
      </c>
      <c r="F92" s="52">
        <f>IF(D17="","",D17)</f>
        <v>0.10500000000000001</v>
      </c>
      <c r="G92" s="52" t="s">
        <v>34</v>
      </c>
      <c r="H92" s="52"/>
      <c r="I92" s="52"/>
      <c r="J92" s="52"/>
      <c r="K92" s="89"/>
      <c r="L92" s="89"/>
      <c r="M92" s="89"/>
      <c r="N92" s="89"/>
      <c r="O92" s="89"/>
      <c r="P92" s="52"/>
      <c r="Q92" s="52"/>
      <c r="R92" s="52"/>
      <c r="S92" s="73"/>
      <c r="T92" s="75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78"/>
      <c r="AV92" s="78"/>
      <c r="AW92" s="78"/>
      <c r="AX92" s="78"/>
      <c r="AY92" s="78"/>
      <c r="AZ92" s="78"/>
      <c r="BA92" s="78"/>
      <c r="BB92" s="78"/>
      <c r="BC92" s="78"/>
      <c r="BD92" s="78"/>
      <c r="BE92" s="78"/>
      <c r="BF92" s="78"/>
      <c r="BG92" s="78"/>
      <c r="BH92" s="78"/>
      <c r="BI92" s="78"/>
      <c r="BJ92" s="78"/>
      <c r="BK92" s="78"/>
      <c r="BL92" s="78"/>
      <c r="BM92" s="78"/>
      <c r="BN92" s="78"/>
      <c r="BO92" s="78"/>
      <c r="BP92" s="78"/>
      <c r="BQ92" s="78"/>
      <c r="BR92" s="78"/>
      <c r="BS92" s="78"/>
      <c r="BT92" s="78"/>
      <c r="BU92" s="78"/>
      <c r="BV92" s="78"/>
      <c r="BW92" s="78"/>
      <c r="BX92" s="78"/>
      <c r="BY92" s="78"/>
      <c r="BZ92" s="78"/>
    </row>
    <row r="93" spans="1:78" s="94" customFormat="1" ht="22.15" customHeight="1" x14ac:dyDescent="0.2">
      <c r="A93" s="92"/>
      <c r="B93" s="169" t="s">
        <v>85</v>
      </c>
      <c r="C93" s="170"/>
      <c r="D93" s="170"/>
      <c r="E93" s="170"/>
      <c r="F93" s="170"/>
      <c r="G93" s="170"/>
      <c r="H93" s="170"/>
      <c r="I93" s="170"/>
      <c r="J93" s="170"/>
      <c r="K93" s="170"/>
      <c r="L93" s="170"/>
      <c r="M93" s="170"/>
      <c r="N93" s="170"/>
      <c r="O93" s="170"/>
      <c r="P93" s="170"/>
      <c r="Q93" s="170"/>
      <c r="R93" s="170"/>
      <c r="S93" s="170"/>
      <c r="T93" s="171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  <c r="AO93" s="93"/>
      <c r="AP93" s="93"/>
      <c r="AQ93" s="93"/>
      <c r="AR93" s="93"/>
      <c r="AS93" s="93"/>
      <c r="AT93" s="93"/>
      <c r="AU93" s="93"/>
      <c r="AV93" s="93"/>
      <c r="AW93" s="93"/>
      <c r="AX93" s="93"/>
      <c r="AY93" s="93"/>
      <c r="AZ93" s="93"/>
      <c r="BA93" s="93"/>
      <c r="BB93" s="93"/>
      <c r="BC93" s="93"/>
      <c r="BD93" s="93"/>
      <c r="BE93" s="93"/>
      <c r="BF93" s="93"/>
      <c r="BG93" s="93"/>
      <c r="BH93" s="93"/>
      <c r="BI93" s="93"/>
      <c r="BJ93" s="93"/>
      <c r="BK93" s="93"/>
      <c r="BL93" s="93"/>
      <c r="BM93" s="93"/>
      <c r="BN93" s="93"/>
      <c r="BO93" s="93"/>
      <c r="BP93" s="93"/>
      <c r="BQ93" s="93"/>
      <c r="BR93" s="93"/>
      <c r="BS93" s="93"/>
      <c r="BT93" s="93"/>
      <c r="BU93" s="93"/>
      <c r="BV93" s="93"/>
      <c r="BW93" s="93"/>
      <c r="BX93" s="93"/>
      <c r="BY93" s="93"/>
      <c r="BZ93" s="93"/>
    </row>
    <row r="94" spans="1:78" s="79" customFormat="1" ht="22.15" customHeight="1" x14ac:dyDescent="0.2">
      <c r="A94" s="95"/>
      <c r="B94" s="59">
        <v>1</v>
      </c>
      <c r="C94" s="96"/>
      <c r="D94" s="59"/>
      <c r="E94" s="52"/>
      <c r="F94" s="52"/>
      <c r="G94" s="52"/>
      <c r="H94" s="52"/>
      <c r="I94" s="52"/>
      <c r="J94" s="52">
        <v>1</v>
      </c>
      <c r="K94" s="52" t="str">
        <f>IF(B24="","",B24)</f>
        <v>FCAPL_01</v>
      </c>
      <c r="L94" s="52">
        <f>IF(D24="","",D24)</f>
        <v>0</v>
      </c>
      <c r="M94" s="52">
        <v>2</v>
      </c>
      <c r="N94" s="52" t="str">
        <f>IF(B34="","",B34)</f>
        <v>FCAPL_DUR_02</v>
      </c>
      <c r="O94" s="52" t="str">
        <f>IF(D34="","",D34)</f>
        <v/>
      </c>
      <c r="P94" s="52"/>
      <c r="Q94" s="52"/>
      <c r="R94" s="52"/>
      <c r="S94" s="73"/>
      <c r="T94" s="77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78"/>
      <c r="AU94" s="78"/>
      <c r="AV94" s="78"/>
      <c r="AW94" s="78"/>
      <c r="AX94" s="78"/>
      <c r="AY94" s="78"/>
      <c r="AZ94" s="78"/>
      <c r="BA94" s="78"/>
      <c r="BB94" s="78"/>
      <c r="BC94" s="78"/>
      <c r="BD94" s="78"/>
      <c r="BE94" s="78"/>
      <c r="BF94" s="78"/>
      <c r="BG94" s="78"/>
      <c r="BH94" s="78"/>
      <c r="BI94" s="78"/>
      <c r="BJ94" s="78"/>
      <c r="BK94" s="78"/>
      <c r="BL94" s="78"/>
      <c r="BM94" s="78"/>
      <c r="BN94" s="78"/>
      <c r="BO94" s="78"/>
      <c r="BP94" s="78"/>
      <c r="BQ94" s="78"/>
      <c r="BR94" s="78"/>
      <c r="BS94" s="78"/>
      <c r="BT94" s="78"/>
      <c r="BU94" s="78"/>
      <c r="BV94" s="78"/>
      <c r="BW94" s="78"/>
      <c r="BX94" s="78"/>
      <c r="BY94" s="78"/>
      <c r="BZ94" s="78"/>
    </row>
    <row r="95" spans="1:78" s="79" customFormat="1" ht="22.15" customHeight="1" x14ac:dyDescent="0.2">
      <c r="A95" s="95"/>
      <c r="B95" s="59">
        <v>2</v>
      </c>
      <c r="C95" s="96"/>
      <c r="D95" s="59"/>
      <c r="E95" s="52"/>
      <c r="F95" s="52"/>
      <c r="G95" s="52"/>
      <c r="H95" s="52"/>
      <c r="I95" s="52"/>
      <c r="J95" s="52">
        <v>1</v>
      </c>
      <c r="K95" s="52" t="str">
        <f>IF(B25="","",B25)</f>
        <v>FCAPL_02</v>
      </c>
      <c r="L95" s="52">
        <f>IF(D25="","",D25)</f>
        <v>5.000000000000001E-3</v>
      </c>
      <c r="M95" s="52">
        <v>2</v>
      </c>
      <c r="N95" s="52" t="str">
        <f>IF(B34="","",B34)</f>
        <v>FCAPL_DUR_02</v>
      </c>
      <c r="O95" s="52" t="str">
        <f>IF(D34="","",D34)</f>
        <v/>
      </c>
      <c r="P95" s="52"/>
      <c r="Q95" s="52"/>
      <c r="R95" s="52"/>
      <c r="S95" s="73"/>
      <c r="T95" s="77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  <c r="AY95" s="78"/>
      <c r="AZ95" s="78"/>
      <c r="BA95" s="78"/>
      <c r="BB95" s="78"/>
      <c r="BC95" s="78"/>
      <c r="BD95" s="78"/>
      <c r="BE95" s="78"/>
      <c r="BF95" s="78"/>
      <c r="BG95" s="78"/>
      <c r="BH95" s="78"/>
      <c r="BI95" s="78"/>
      <c r="BJ95" s="78"/>
      <c r="BK95" s="78"/>
      <c r="BL95" s="78"/>
      <c r="BM95" s="78"/>
      <c r="BN95" s="78"/>
      <c r="BO95" s="78"/>
      <c r="BP95" s="78"/>
      <c r="BQ95" s="78"/>
      <c r="BR95" s="78"/>
      <c r="BS95" s="78"/>
      <c r="BT95" s="78"/>
      <c r="BU95" s="78"/>
      <c r="BV95" s="78"/>
      <c r="BW95" s="78"/>
      <c r="BX95" s="78"/>
      <c r="BY95" s="78"/>
      <c r="BZ95" s="78"/>
    </row>
    <row r="96" spans="1:78" s="79" customFormat="1" ht="22.15" customHeight="1" x14ac:dyDescent="0.2">
      <c r="A96" s="95"/>
      <c r="B96" s="59">
        <v>3</v>
      </c>
      <c r="C96" s="96"/>
      <c r="D96" s="59"/>
      <c r="E96" s="52"/>
      <c r="F96" s="52"/>
      <c r="G96" s="52"/>
      <c r="H96" s="52"/>
      <c r="I96" s="52"/>
      <c r="J96" s="52">
        <v>1</v>
      </c>
      <c r="K96" s="52" t="str">
        <f>IF(B26="","",B26)</f>
        <v>FCAPL_03</v>
      </c>
      <c r="L96" s="52" t="str">
        <f>IF(D26="","",D26)</f>
        <v/>
      </c>
      <c r="M96" s="52">
        <v>2</v>
      </c>
      <c r="N96" s="52" t="str">
        <f>IF(B34="","",B34)</f>
        <v>FCAPL_DUR_02</v>
      </c>
      <c r="O96" s="52" t="str">
        <f>IF(D34="","",D34)</f>
        <v/>
      </c>
      <c r="P96" s="52"/>
      <c r="Q96" s="52"/>
      <c r="R96" s="52"/>
      <c r="S96" s="73"/>
      <c r="T96" s="77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78"/>
      <c r="AN96" s="78"/>
      <c r="AO96" s="78"/>
      <c r="AP96" s="78"/>
      <c r="AQ96" s="78"/>
      <c r="AR96" s="78"/>
      <c r="AS96" s="78"/>
      <c r="AT96" s="78"/>
      <c r="AU96" s="78"/>
      <c r="AV96" s="78"/>
      <c r="AW96" s="78"/>
      <c r="AX96" s="78"/>
      <c r="AY96" s="78"/>
      <c r="AZ96" s="78"/>
      <c r="BA96" s="78"/>
      <c r="BB96" s="78"/>
      <c r="BC96" s="78"/>
      <c r="BD96" s="78"/>
      <c r="BE96" s="78"/>
      <c r="BF96" s="78"/>
      <c r="BG96" s="78"/>
      <c r="BH96" s="78"/>
      <c r="BI96" s="78"/>
      <c r="BJ96" s="78"/>
      <c r="BK96" s="78"/>
      <c r="BL96" s="78"/>
      <c r="BM96" s="78"/>
      <c r="BN96" s="78"/>
      <c r="BO96" s="78"/>
      <c r="BP96" s="78"/>
      <c r="BQ96" s="78"/>
      <c r="BR96" s="78"/>
      <c r="BS96" s="78"/>
      <c r="BT96" s="78"/>
      <c r="BU96" s="78"/>
      <c r="BV96" s="78"/>
      <c r="BW96" s="78"/>
      <c r="BX96" s="78"/>
      <c r="BY96" s="78"/>
      <c r="BZ96" s="78"/>
    </row>
    <row r="97" spans="1:78" s="79" customFormat="1" ht="22.15" customHeight="1" x14ac:dyDescent="0.2">
      <c r="A97" s="95"/>
      <c r="B97" s="59">
        <v>4</v>
      </c>
      <c r="C97" s="96"/>
      <c r="D97" s="59"/>
      <c r="E97" s="52"/>
      <c r="F97" s="52"/>
      <c r="G97" s="52"/>
      <c r="H97" s="52"/>
      <c r="I97" s="52"/>
      <c r="J97" s="52">
        <v>1</v>
      </c>
      <c r="K97" s="52" t="str">
        <f>IF(B27="","",B27)</f>
        <v>FCAPL_04</v>
      </c>
      <c r="L97" s="52">
        <f>IF(D27="","",D27)</f>
        <v>9.5000000000000001E-2</v>
      </c>
      <c r="M97" s="52">
        <v>2</v>
      </c>
      <c r="N97" s="52" t="str">
        <f>IF(B34="","",B34)</f>
        <v>FCAPL_DUR_02</v>
      </c>
      <c r="O97" s="52" t="str">
        <f>IF(D34="","",D34)</f>
        <v/>
      </c>
      <c r="P97" s="52"/>
      <c r="Q97" s="52"/>
      <c r="R97" s="52"/>
      <c r="S97" s="73"/>
      <c r="T97" s="77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8"/>
      <c r="AI97" s="78"/>
      <c r="AJ97" s="78"/>
      <c r="AK97" s="78"/>
      <c r="AL97" s="78"/>
      <c r="AM97" s="78"/>
      <c r="AN97" s="78"/>
      <c r="AO97" s="78"/>
      <c r="AP97" s="78"/>
      <c r="AQ97" s="78"/>
      <c r="AR97" s="78"/>
      <c r="AS97" s="78"/>
      <c r="AT97" s="78"/>
      <c r="AU97" s="78"/>
      <c r="AV97" s="78"/>
      <c r="AW97" s="78"/>
      <c r="AX97" s="78"/>
      <c r="AY97" s="78"/>
      <c r="AZ97" s="78"/>
      <c r="BA97" s="78"/>
      <c r="BB97" s="78"/>
      <c r="BC97" s="78"/>
      <c r="BD97" s="78"/>
      <c r="BE97" s="78"/>
      <c r="BF97" s="78"/>
      <c r="BG97" s="78"/>
      <c r="BH97" s="78"/>
      <c r="BI97" s="78"/>
      <c r="BJ97" s="78"/>
      <c r="BK97" s="78"/>
      <c r="BL97" s="78"/>
      <c r="BM97" s="78"/>
      <c r="BN97" s="78"/>
      <c r="BO97" s="78"/>
      <c r="BP97" s="78"/>
      <c r="BQ97" s="78"/>
      <c r="BR97" s="78"/>
      <c r="BS97" s="78"/>
      <c r="BT97" s="78"/>
      <c r="BU97" s="78"/>
      <c r="BV97" s="78"/>
      <c r="BW97" s="78"/>
      <c r="BX97" s="78"/>
      <c r="BY97" s="78"/>
      <c r="BZ97" s="78"/>
    </row>
    <row r="98" spans="1:78" s="79" customFormat="1" ht="22.15" customHeight="1" x14ac:dyDescent="0.2">
      <c r="A98" s="95"/>
      <c r="B98" s="59">
        <v>5</v>
      </c>
      <c r="C98" s="96"/>
      <c r="D98" s="59"/>
      <c r="E98" s="52"/>
      <c r="F98" s="52"/>
      <c r="G98" s="52"/>
      <c r="H98" s="52"/>
      <c r="I98" s="52"/>
      <c r="J98" s="52">
        <v>1</v>
      </c>
      <c r="K98" s="52" t="str">
        <f>IF(B28="","",B28)</f>
        <v>FCAPL_05</v>
      </c>
      <c r="L98" s="52">
        <f>IF(D28="","",D28)</f>
        <v>0.10500000000000001</v>
      </c>
      <c r="M98" s="52">
        <v>2</v>
      </c>
      <c r="N98" s="52" t="str">
        <f>IF(B34="","",B34)</f>
        <v>FCAPL_DUR_02</v>
      </c>
      <c r="O98" s="52" t="str">
        <f>IF(D34="","",D34)</f>
        <v/>
      </c>
      <c r="P98" s="52"/>
      <c r="Q98" s="52"/>
      <c r="R98" s="52"/>
      <c r="S98" s="73"/>
      <c r="T98" s="77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78"/>
      <c r="BK98" s="78"/>
      <c r="BL98" s="78"/>
      <c r="BM98" s="78"/>
      <c r="BN98" s="78"/>
      <c r="BO98" s="78"/>
      <c r="BP98" s="78"/>
      <c r="BQ98" s="78"/>
      <c r="BR98" s="78"/>
      <c r="BS98" s="78"/>
      <c r="BT98" s="78"/>
      <c r="BU98" s="78"/>
      <c r="BV98" s="78"/>
      <c r="BW98" s="78"/>
      <c r="BX98" s="78"/>
      <c r="BY98" s="78"/>
      <c r="BZ98" s="78"/>
    </row>
    <row r="99" spans="1:78" s="79" customFormat="1" ht="22.15" customHeight="1" x14ac:dyDescent="0.2">
      <c r="A99" s="95"/>
      <c r="B99" s="59">
        <v>6</v>
      </c>
      <c r="C99" s="96"/>
      <c r="D99" s="59"/>
      <c r="E99" s="52"/>
      <c r="F99" s="52"/>
      <c r="G99" s="52"/>
      <c r="H99" s="52"/>
      <c r="I99" s="52"/>
      <c r="J99" s="52">
        <v>1</v>
      </c>
      <c r="K99" s="52" t="str">
        <f>IF(B26="","",B26)</f>
        <v>FCAPL_03</v>
      </c>
      <c r="L99" s="52" t="str">
        <f>IF(D26="","",D26)</f>
        <v/>
      </c>
      <c r="M99" s="52">
        <v>2</v>
      </c>
      <c r="N99" s="52" t="str">
        <f>IF(B33="","",B33)</f>
        <v>FCAPL_DUR_01</v>
      </c>
      <c r="O99" s="52" t="str">
        <f>IF(D33="","",D33)</f>
        <v>1h54m</v>
      </c>
      <c r="P99" s="52"/>
      <c r="Q99" s="52"/>
      <c r="R99" s="52"/>
      <c r="S99" s="73"/>
      <c r="T99" s="77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78"/>
      <c r="BK99" s="78"/>
      <c r="BL99" s="78"/>
      <c r="BM99" s="78"/>
      <c r="BN99" s="78"/>
      <c r="BO99" s="78"/>
      <c r="BP99" s="78"/>
      <c r="BQ99" s="78"/>
      <c r="BR99" s="78"/>
      <c r="BS99" s="78"/>
      <c r="BT99" s="78"/>
      <c r="BU99" s="78"/>
      <c r="BV99" s="78"/>
      <c r="BW99" s="78"/>
      <c r="BX99" s="78"/>
      <c r="BY99" s="78"/>
      <c r="BZ99" s="78"/>
    </row>
    <row r="100" spans="1:78" s="79" customFormat="1" ht="22.15" customHeight="1" x14ac:dyDescent="0.2">
      <c r="A100" s="95"/>
      <c r="B100" s="59">
        <v>7</v>
      </c>
      <c r="C100" s="96"/>
      <c r="D100" s="59"/>
      <c r="E100" s="52"/>
      <c r="F100" s="52"/>
      <c r="G100" s="52"/>
      <c r="H100" s="52"/>
      <c r="I100" s="52"/>
      <c r="J100" s="52">
        <v>1</v>
      </c>
      <c r="K100" s="52" t="str">
        <f>IF(B26="","",B26)</f>
        <v>FCAPL_03</v>
      </c>
      <c r="L100" s="52" t="str">
        <f>IF(D26="","",D26)</f>
        <v/>
      </c>
      <c r="M100" s="52">
        <v>2</v>
      </c>
      <c r="N100" s="52" t="str">
        <f>IF(B35="","",B35)</f>
        <v>FCAPL_DUR_03</v>
      </c>
      <c r="O100" s="52">
        <f>IF(D35="","",D35)</f>
        <v>0</v>
      </c>
      <c r="P100" s="52"/>
      <c r="Q100" s="52"/>
      <c r="R100" s="52"/>
      <c r="S100" s="73"/>
      <c r="T100" s="77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78"/>
      <c r="BK100" s="78"/>
      <c r="BL100" s="78"/>
      <c r="BM100" s="78"/>
      <c r="BN100" s="78"/>
      <c r="BO100" s="78"/>
      <c r="BP100" s="78"/>
      <c r="BQ100" s="78"/>
      <c r="BR100" s="78"/>
      <c r="BS100" s="78"/>
      <c r="BT100" s="78"/>
      <c r="BU100" s="78"/>
      <c r="BV100" s="78"/>
      <c r="BW100" s="78"/>
      <c r="BX100" s="78"/>
      <c r="BY100" s="78"/>
      <c r="BZ100" s="78"/>
    </row>
    <row r="101" spans="1:78" s="94" customFormat="1" ht="22.15" customHeight="1" x14ac:dyDescent="0.2">
      <c r="A101" s="92"/>
      <c r="B101" s="169" t="s">
        <v>202</v>
      </c>
      <c r="C101" s="170"/>
      <c r="D101" s="170"/>
      <c r="E101" s="170"/>
      <c r="F101" s="170"/>
      <c r="G101" s="170"/>
      <c r="H101" s="170"/>
      <c r="I101" s="170"/>
      <c r="J101" s="170"/>
      <c r="K101" s="170"/>
      <c r="L101" s="170"/>
      <c r="M101" s="170"/>
      <c r="N101" s="170"/>
      <c r="O101" s="170"/>
      <c r="P101" s="170"/>
      <c r="Q101" s="170"/>
      <c r="R101" s="170"/>
      <c r="S101" s="170"/>
      <c r="T101" s="171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  <c r="AO101" s="93"/>
      <c r="AP101" s="93"/>
      <c r="AQ101" s="93"/>
      <c r="AR101" s="93"/>
      <c r="AS101" s="93"/>
      <c r="AT101" s="93"/>
      <c r="AU101" s="93"/>
      <c r="AV101" s="93"/>
      <c r="AW101" s="93"/>
      <c r="AX101" s="93"/>
      <c r="AY101" s="93"/>
      <c r="AZ101" s="93"/>
      <c r="BA101" s="93"/>
      <c r="BB101" s="93"/>
      <c r="BC101" s="93"/>
      <c r="BD101" s="93"/>
      <c r="BE101" s="93"/>
      <c r="BF101" s="93"/>
      <c r="BG101" s="93"/>
      <c r="BH101" s="93"/>
      <c r="BI101" s="93"/>
      <c r="BJ101" s="93"/>
      <c r="BK101" s="93"/>
      <c r="BL101" s="93"/>
      <c r="BM101" s="93"/>
      <c r="BN101" s="93"/>
      <c r="BO101" s="93"/>
      <c r="BP101" s="93"/>
      <c r="BQ101" s="93"/>
      <c r="BR101" s="93"/>
      <c r="BS101" s="93"/>
      <c r="BT101" s="93"/>
      <c r="BU101" s="93"/>
      <c r="BV101" s="93"/>
      <c r="BW101" s="93"/>
      <c r="BX101" s="93"/>
      <c r="BY101" s="93"/>
      <c r="BZ101" s="93"/>
    </row>
    <row r="102" spans="1:78" s="79" customFormat="1" ht="22.15" customHeight="1" x14ac:dyDescent="0.2">
      <c r="A102" s="95"/>
      <c r="B102" s="99" t="s">
        <v>72</v>
      </c>
      <c r="C102" s="97"/>
      <c r="D102" s="98">
        <v>6</v>
      </c>
      <c r="E102" s="52" t="str">
        <f>IF(B15="","",B15)</f>
        <v>APCL_03</v>
      </c>
      <c r="F102" s="55" t="str">
        <f>IF(D15="","",D15)</f>
        <v/>
      </c>
      <c r="G102" s="55" t="s">
        <v>37</v>
      </c>
      <c r="H102" s="52"/>
      <c r="I102" s="55"/>
      <c r="J102" s="55"/>
      <c r="K102" s="55"/>
      <c r="L102" s="55"/>
      <c r="M102" s="56"/>
      <c r="N102" s="56"/>
      <c r="O102" s="56"/>
      <c r="P102" s="56"/>
      <c r="Q102" s="56"/>
      <c r="R102" s="56" t="str">
        <f>IF(D7="","",D7)</f>
        <v/>
      </c>
      <c r="S102" s="12"/>
      <c r="T102" s="76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78"/>
      <c r="BK102" s="78"/>
      <c r="BL102" s="78"/>
      <c r="BM102" s="78"/>
      <c r="BN102" s="78"/>
      <c r="BO102" s="78"/>
      <c r="BP102" s="78"/>
      <c r="BQ102" s="78"/>
      <c r="BR102" s="78"/>
      <c r="BS102" s="78"/>
      <c r="BT102" s="78"/>
      <c r="BU102" s="78"/>
      <c r="BV102" s="78"/>
      <c r="BW102" s="78"/>
      <c r="BX102" s="78"/>
      <c r="BY102" s="78"/>
      <c r="BZ102" s="78"/>
    </row>
    <row r="103" spans="1:78" s="79" customFormat="1" ht="22.15" customHeight="1" x14ac:dyDescent="0.2">
      <c r="A103" s="95"/>
      <c r="B103" s="99" t="s">
        <v>73</v>
      </c>
      <c r="C103" s="96"/>
      <c r="D103" s="59">
        <v>8</v>
      </c>
      <c r="E103" s="52" t="str">
        <f>IF(B15="","",B15)</f>
        <v>APCL_03</v>
      </c>
      <c r="F103" s="52" t="str">
        <f>IF(D15="","",D15)</f>
        <v/>
      </c>
      <c r="G103" s="52" t="s">
        <v>37</v>
      </c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73"/>
      <c r="T103" s="75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78"/>
      <c r="BK103" s="78"/>
      <c r="BL103" s="78"/>
      <c r="BM103" s="78"/>
      <c r="BN103" s="78"/>
      <c r="BO103" s="78"/>
      <c r="BP103" s="78"/>
      <c r="BQ103" s="78"/>
      <c r="BR103" s="78"/>
      <c r="BS103" s="78"/>
      <c r="BT103" s="78"/>
      <c r="BU103" s="78"/>
      <c r="BV103" s="78"/>
      <c r="BW103" s="78"/>
      <c r="BX103" s="78"/>
      <c r="BY103" s="78"/>
      <c r="BZ103" s="78"/>
    </row>
    <row r="104" spans="1:78" s="94" customFormat="1" ht="22.15" customHeight="1" x14ac:dyDescent="0.2">
      <c r="A104" s="92"/>
      <c r="B104" s="169" t="s">
        <v>86</v>
      </c>
      <c r="C104" s="170"/>
      <c r="D104" s="170"/>
      <c r="E104" s="170"/>
      <c r="F104" s="170"/>
      <c r="G104" s="170"/>
      <c r="H104" s="170"/>
      <c r="I104" s="170"/>
      <c r="J104" s="170"/>
      <c r="K104" s="170"/>
      <c r="L104" s="170"/>
      <c r="M104" s="170"/>
      <c r="N104" s="170"/>
      <c r="O104" s="170"/>
      <c r="P104" s="170"/>
      <c r="Q104" s="170"/>
      <c r="R104" s="170"/>
      <c r="S104" s="170"/>
      <c r="T104" s="171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  <c r="AO104" s="93"/>
      <c r="AP104" s="93"/>
      <c r="AQ104" s="93"/>
      <c r="AR104" s="93"/>
      <c r="AS104" s="93"/>
      <c r="AT104" s="93"/>
      <c r="AU104" s="93"/>
      <c r="AV104" s="93"/>
      <c r="AW104" s="93"/>
      <c r="AX104" s="93"/>
      <c r="AY104" s="93"/>
      <c r="AZ104" s="93"/>
      <c r="BA104" s="93"/>
      <c r="BB104" s="93"/>
      <c r="BC104" s="93"/>
      <c r="BD104" s="93"/>
      <c r="BE104" s="93"/>
      <c r="BF104" s="93"/>
      <c r="BG104" s="93"/>
      <c r="BH104" s="93"/>
      <c r="BI104" s="93"/>
      <c r="BJ104" s="93"/>
      <c r="BK104" s="93"/>
      <c r="BL104" s="93"/>
      <c r="BM104" s="93"/>
      <c r="BN104" s="93"/>
      <c r="BO104" s="93"/>
      <c r="BP104" s="93"/>
      <c r="BQ104" s="93"/>
      <c r="BR104" s="93"/>
      <c r="BS104" s="93"/>
      <c r="BT104" s="93"/>
      <c r="BU104" s="93"/>
      <c r="BV104" s="93"/>
      <c r="BW104" s="93"/>
      <c r="BX104" s="93"/>
      <c r="BY104" s="93"/>
      <c r="BZ104" s="93"/>
    </row>
    <row r="105" spans="1:78" s="79" customFormat="1" ht="22.15" customHeight="1" x14ac:dyDescent="0.2">
      <c r="A105" s="95"/>
      <c r="B105" s="59">
        <v>1</v>
      </c>
      <c r="C105" s="97"/>
      <c r="D105" s="98"/>
      <c r="E105" s="52"/>
      <c r="F105" s="55"/>
      <c r="G105" s="55"/>
      <c r="H105" s="52"/>
      <c r="I105" s="55"/>
      <c r="J105" s="55"/>
      <c r="K105" s="55"/>
      <c r="L105" s="55"/>
      <c r="M105" s="56"/>
      <c r="N105" s="56"/>
      <c r="O105" s="56"/>
      <c r="P105" s="56"/>
      <c r="Q105" s="56"/>
      <c r="R105" s="56"/>
      <c r="S105" s="12"/>
      <c r="T105" s="76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78"/>
      <c r="BK105" s="78"/>
      <c r="BL105" s="78"/>
      <c r="BM105" s="78"/>
      <c r="BN105" s="78"/>
      <c r="BO105" s="78"/>
      <c r="BP105" s="78"/>
      <c r="BQ105" s="78"/>
      <c r="BR105" s="78"/>
      <c r="BS105" s="78"/>
      <c r="BT105" s="78"/>
      <c r="BU105" s="78"/>
      <c r="BV105" s="78"/>
      <c r="BW105" s="78"/>
      <c r="BX105" s="78"/>
      <c r="BY105" s="78"/>
      <c r="BZ105" s="78"/>
    </row>
    <row r="106" spans="1:78" s="94" customFormat="1" ht="22.15" customHeight="1" x14ac:dyDescent="0.2">
      <c r="A106" s="92"/>
      <c r="B106" s="169" t="s">
        <v>87</v>
      </c>
      <c r="C106" s="170"/>
      <c r="D106" s="170"/>
      <c r="E106" s="170"/>
      <c r="F106" s="170"/>
      <c r="G106" s="170"/>
      <c r="H106" s="170"/>
      <c r="I106" s="170"/>
      <c r="J106" s="170"/>
      <c r="K106" s="170"/>
      <c r="L106" s="170"/>
      <c r="M106" s="170"/>
      <c r="N106" s="170"/>
      <c r="O106" s="170"/>
      <c r="P106" s="170"/>
      <c r="Q106" s="170"/>
      <c r="R106" s="170"/>
      <c r="S106" s="170"/>
      <c r="T106" s="171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  <c r="AO106" s="93"/>
      <c r="AP106" s="93"/>
      <c r="AQ106" s="93"/>
      <c r="AR106" s="93"/>
      <c r="AS106" s="93"/>
      <c r="AT106" s="93"/>
      <c r="AU106" s="93"/>
      <c r="AV106" s="93"/>
      <c r="AW106" s="93"/>
      <c r="AX106" s="93"/>
      <c r="AY106" s="93"/>
      <c r="AZ106" s="93"/>
      <c r="BA106" s="93"/>
      <c r="BB106" s="93"/>
      <c r="BC106" s="93"/>
      <c r="BD106" s="93"/>
      <c r="BE106" s="93"/>
      <c r="BF106" s="93"/>
      <c r="BG106" s="93"/>
      <c r="BH106" s="93"/>
      <c r="BI106" s="93"/>
      <c r="BJ106" s="93"/>
      <c r="BK106" s="93"/>
      <c r="BL106" s="93"/>
      <c r="BM106" s="93"/>
      <c r="BN106" s="93"/>
      <c r="BO106" s="93"/>
      <c r="BP106" s="93"/>
      <c r="BQ106" s="93"/>
      <c r="BR106" s="93"/>
      <c r="BS106" s="93"/>
      <c r="BT106" s="93"/>
      <c r="BU106" s="93"/>
      <c r="BV106" s="93"/>
      <c r="BW106" s="93"/>
      <c r="BX106" s="93"/>
      <c r="BY106" s="93"/>
      <c r="BZ106" s="93"/>
    </row>
    <row r="107" spans="1:78" s="79" customFormat="1" ht="22.15" customHeight="1" x14ac:dyDescent="0.2">
      <c r="A107" s="95"/>
      <c r="B107" s="59">
        <v>1</v>
      </c>
      <c r="C107" s="97"/>
      <c r="D107" s="98"/>
      <c r="E107" s="52"/>
      <c r="F107" s="55"/>
      <c r="G107" s="55"/>
      <c r="H107" s="52"/>
      <c r="I107" s="55"/>
      <c r="J107" s="55"/>
      <c r="K107" s="55"/>
      <c r="L107" s="55"/>
      <c r="M107" s="56"/>
      <c r="N107" s="56"/>
      <c r="O107" s="56"/>
      <c r="P107" s="56"/>
      <c r="Q107" s="56"/>
      <c r="R107" s="56"/>
      <c r="S107" s="12"/>
      <c r="T107" s="76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  <c r="AY107" s="78"/>
      <c r="AZ107" s="78"/>
      <c r="BA107" s="78"/>
      <c r="BB107" s="78"/>
      <c r="BC107" s="78"/>
      <c r="BD107" s="78"/>
      <c r="BE107" s="78"/>
      <c r="BF107" s="78"/>
      <c r="BG107" s="78"/>
      <c r="BH107" s="78"/>
      <c r="BI107" s="78"/>
      <c r="BJ107" s="78"/>
      <c r="BK107" s="78"/>
      <c r="BL107" s="78"/>
      <c r="BM107" s="78"/>
      <c r="BN107" s="78"/>
      <c r="BO107" s="78"/>
      <c r="BP107" s="78"/>
      <c r="BQ107" s="78"/>
      <c r="BR107" s="78"/>
      <c r="BS107" s="78"/>
      <c r="BT107" s="78"/>
      <c r="BU107" s="78"/>
      <c r="BV107" s="78"/>
      <c r="BW107" s="78"/>
      <c r="BX107" s="78"/>
      <c r="BY107" s="78"/>
      <c r="BZ107" s="78"/>
    </row>
    <row r="108" spans="1:78" s="94" customFormat="1" ht="22.15" customHeight="1" x14ac:dyDescent="0.2">
      <c r="A108" s="92"/>
      <c r="B108" s="169" t="s">
        <v>46</v>
      </c>
      <c r="C108" s="170"/>
      <c r="D108" s="170"/>
      <c r="E108" s="170"/>
      <c r="F108" s="170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170"/>
      <c r="T108" s="171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  <c r="AO108" s="93"/>
      <c r="AP108" s="93"/>
      <c r="AQ108" s="93"/>
      <c r="AR108" s="93"/>
      <c r="AS108" s="93"/>
      <c r="AT108" s="93"/>
      <c r="AU108" s="93"/>
      <c r="AV108" s="93"/>
      <c r="AW108" s="93"/>
      <c r="AX108" s="93"/>
      <c r="AY108" s="93"/>
      <c r="AZ108" s="93"/>
      <c r="BA108" s="93"/>
      <c r="BB108" s="93"/>
      <c r="BC108" s="93"/>
      <c r="BD108" s="93"/>
      <c r="BE108" s="93"/>
      <c r="BF108" s="93"/>
      <c r="BG108" s="93"/>
      <c r="BH108" s="93"/>
      <c r="BI108" s="93"/>
      <c r="BJ108" s="93"/>
      <c r="BK108" s="93"/>
      <c r="BL108" s="93"/>
      <c r="BM108" s="93"/>
      <c r="BN108" s="93"/>
      <c r="BO108" s="93"/>
      <c r="BP108" s="93"/>
      <c r="BQ108" s="93"/>
      <c r="BR108" s="93"/>
      <c r="BS108" s="93"/>
      <c r="BT108" s="93"/>
      <c r="BU108" s="93"/>
      <c r="BV108" s="93"/>
      <c r="BW108" s="93"/>
      <c r="BX108" s="93"/>
      <c r="BY108" s="93"/>
      <c r="BZ108" s="93"/>
    </row>
    <row r="109" spans="1:78" s="79" customFormat="1" ht="22.15" customHeight="1" x14ac:dyDescent="0.2">
      <c r="A109" s="95"/>
      <c r="B109" s="99" t="s">
        <v>72</v>
      </c>
      <c r="C109" s="97"/>
      <c r="D109" s="98">
        <v>3</v>
      </c>
      <c r="E109" s="52" t="str">
        <f>IF(B15="","",B15)</f>
        <v>APCL_03</v>
      </c>
      <c r="F109" s="55" t="str">
        <f>IF(D15="","",D15)</f>
        <v/>
      </c>
      <c r="G109" s="55" t="s">
        <v>37</v>
      </c>
      <c r="H109" s="52"/>
      <c r="I109" s="55"/>
      <c r="J109" s="55">
        <v>4</v>
      </c>
      <c r="K109" s="52" t="str">
        <f>IF(B26="","",B26)</f>
        <v>FCAPL_03</v>
      </c>
      <c r="L109" s="55" t="str">
        <f>IF(D26="","",D26)</f>
        <v/>
      </c>
      <c r="M109" s="56">
        <v>6</v>
      </c>
      <c r="N109" s="56" t="str">
        <f>IF(B34="","",B34)</f>
        <v>FCAPL_DUR_02</v>
      </c>
      <c r="O109" s="56" t="str">
        <f>IF(D34="","",D34)</f>
        <v/>
      </c>
      <c r="P109" s="56"/>
      <c r="Q109" s="56"/>
      <c r="R109" s="56"/>
      <c r="S109" s="12"/>
      <c r="T109" s="76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  <c r="AT109" s="78"/>
      <c r="AU109" s="78"/>
      <c r="AV109" s="78"/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8"/>
      <c r="BH109" s="78"/>
      <c r="BI109" s="78"/>
      <c r="BJ109" s="78"/>
      <c r="BK109" s="78"/>
      <c r="BL109" s="78"/>
      <c r="BM109" s="78"/>
      <c r="BN109" s="78"/>
      <c r="BO109" s="78"/>
      <c r="BP109" s="78"/>
      <c r="BQ109" s="78"/>
      <c r="BR109" s="78"/>
      <c r="BS109" s="78"/>
      <c r="BT109" s="78"/>
      <c r="BU109" s="78"/>
      <c r="BV109" s="78"/>
      <c r="BW109" s="78"/>
      <c r="BX109" s="78"/>
      <c r="BY109" s="78"/>
      <c r="BZ109" s="78"/>
    </row>
    <row r="110" spans="1:78" s="79" customFormat="1" ht="22.15" customHeight="1" x14ac:dyDescent="0.2">
      <c r="A110" s="95"/>
      <c r="B110" s="99" t="s">
        <v>73</v>
      </c>
      <c r="C110" s="96"/>
      <c r="D110" s="59">
        <v>10</v>
      </c>
      <c r="E110" s="52" t="str">
        <f>IF(B15="","",B15)</f>
        <v>APCL_03</v>
      </c>
      <c r="F110" s="52" t="str">
        <f>IF(D15="","",D15)</f>
        <v/>
      </c>
      <c r="G110" s="55" t="s">
        <v>37</v>
      </c>
      <c r="H110" s="52"/>
      <c r="I110" s="52"/>
      <c r="J110" s="55"/>
      <c r="K110" s="52"/>
      <c r="L110" s="52"/>
      <c r="M110" s="52"/>
      <c r="N110" s="56"/>
      <c r="O110" s="52"/>
      <c r="P110" s="52"/>
      <c r="Q110" s="52"/>
      <c r="R110" s="52"/>
      <c r="S110" s="73"/>
      <c r="T110" s="75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78"/>
      <c r="AU110" s="78"/>
      <c r="AV110" s="78"/>
      <c r="AW110" s="78"/>
      <c r="AX110" s="78"/>
      <c r="AY110" s="78"/>
      <c r="AZ110" s="78"/>
      <c r="BA110" s="78"/>
      <c r="BB110" s="78"/>
      <c r="BC110" s="78"/>
      <c r="BD110" s="78"/>
      <c r="BE110" s="78"/>
      <c r="BF110" s="78"/>
      <c r="BG110" s="78"/>
      <c r="BH110" s="78"/>
      <c r="BI110" s="78"/>
      <c r="BJ110" s="78"/>
      <c r="BK110" s="78"/>
      <c r="BL110" s="78"/>
      <c r="BM110" s="78"/>
      <c r="BN110" s="78"/>
      <c r="BO110" s="78"/>
      <c r="BP110" s="78"/>
      <c r="BQ110" s="78"/>
      <c r="BR110" s="78"/>
      <c r="BS110" s="78"/>
      <c r="BT110" s="78"/>
      <c r="BU110" s="78"/>
      <c r="BV110" s="78"/>
      <c r="BW110" s="78"/>
      <c r="BX110" s="78"/>
      <c r="BY110" s="78"/>
      <c r="BZ110" s="78"/>
    </row>
    <row r="111" spans="1:78" s="94" customFormat="1" ht="22.15" customHeight="1" x14ac:dyDescent="0.2">
      <c r="A111" s="92"/>
      <c r="B111" s="169" t="s">
        <v>47</v>
      </c>
      <c r="C111" s="170"/>
      <c r="D111" s="170"/>
      <c r="E111" s="170"/>
      <c r="F111" s="170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  <c r="R111" s="170"/>
      <c r="S111" s="170"/>
      <c r="T111" s="171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  <c r="AO111" s="93"/>
      <c r="AP111" s="93"/>
      <c r="AQ111" s="93"/>
      <c r="AR111" s="93"/>
      <c r="AS111" s="93"/>
      <c r="AT111" s="93"/>
      <c r="AU111" s="93"/>
      <c r="AV111" s="93"/>
      <c r="AW111" s="93"/>
      <c r="AX111" s="93"/>
      <c r="AY111" s="93"/>
      <c r="AZ111" s="93"/>
      <c r="BA111" s="93"/>
      <c r="BB111" s="93"/>
      <c r="BC111" s="93"/>
      <c r="BD111" s="93"/>
      <c r="BE111" s="93"/>
      <c r="BF111" s="93"/>
      <c r="BG111" s="93"/>
      <c r="BH111" s="93"/>
      <c r="BI111" s="93"/>
      <c r="BJ111" s="93"/>
      <c r="BK111" s="93"/>
      <c r="BL111" s="93"/>
      <c r="BM111" s="93"/>
      <c r="BN111" s="93"/>
      <c r="BO111" s="93"/>
      <c r="BP111" s="93"/>
      <c r="BQ111" s="93"/>
      <c r="BR111" s="93"/>
      <c r="BS111" s="93"/>
      <c r="BT111" s="93"/>
      <c r="BU111" s="93"/>
      <c r="BV111" s="93"/>
      <c r="BW111" s="93"/>
      <c r="BX111" s="93"/>
      <c r="BY111" s="93"/>
      <c r="BZ111" s="93"/>
    </row>
    <row r="112" spans="1:78" s="79" customFormat="1" ht="22.15" customHeight="1" x14ac:dyDescent="0.2">
      <c r="A112" s="95"/>
      <c r="B112" s="59">
        <v>1</v>
      </c>
      <c r="C112" s="97"/>
      <c r="D112" s="98">
        <v>2</v>
      </c>
      <c r="E112" s="52" t="str">
        <f>IF(B18="","",B18)</f>
        <v>APCL_06</v>
      </c>
      <c r="F112" s="55">
        <f>IF(D18="","",D18)</f>
        <v>-1000</v>
      </c>
      <c r="G112" s="17"/>
      <c r="H112" s="52"/>
      <c r="I112" s="55"/>
      <c r="J112" s="55"/>
      <c r="K112" s="55"/>
      <c r="L112" s="55"/>
      <c r="M112" s="56"/>
      <c r="N112" s="56"/>
      <c r="O112" s="56"/>
      <c r="P112" s="56"/>
      <c r="Q112" s="56"/>
      <c r="R112" s="56"/>
      <c r="S112" s="12"/>
      <c r="T112" s="76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  <c r="AG112" s="78"/>
      <c r="AH112" s="78"/>
      <c r="AI112" s="78"/>
      <c r="AJ112" s="78"/>
      <c r="AK112" s="78"/>
      <c r="AL112" s="78"/>
      <c r="AM112" s="78"/>
      <c r="AN112" s="78"/>
      <c r="AO112" s="78"/>
      <c r="AP112" s="78"/>
      <c r="AQ112" s="78"/>
      <c r="AR112" s="78"/>
      <c r="AS112" s="78"/>
      <c r="AT112" s="78"/>
      <c r="AU112" s="78"/>
      <c r="AV112" s="78"/>
      <c r="AW112" s="78"/>
      <c r="AX112" s="78"/>
      <c r="AY112" s="78"/>
      <c r="AZ112" s="78"/>
      <c r="BA112" s="78"/>
      <c r="BB112" s="78"/>
      <c r="BC112" s="78"/>
      <c r="BD112" s="78"/>
      <c r="BE112" s="78"/>
      <c r="BF112" s="78"/>
      <c r="BG112" s="78"/>
      <c r="BH112" s="78"/>
      <c r="BI112" s="78"/>
      <c r="BJ112" s="78"/>
      <c r="BK112" s="78"/>
      <c r="BL112" s="78"/>
      <c r="BM112" s="78"/>
      <c r="BN112" s="78"/>
      <c r="BO112" s="78"/>
      <c r="BP112" s="78"/>
      <c r="BQ112" s="78"/>
      <c r="BR112" s="78"/>
      <c r="BS112" s="78"/>
      <c r="BT112" s="78"/>
      <c r="BU112" s="78"/>
      <c r="BV112" s="78"/>
      <c r="BW112" s="78"/>
      <c r="BX112" s="78"/>
      <c r="BY112" s="78"/>
      <c r="BZ112" s="78"/>
    </row>
    <row r="113" spans="1:78" s="94" customFormat="1" ht="22.15" customHeight="1" x14ac:dyDescent="0.2">
      <c r="A113" s="92"/>
      <c r="B113" s="169" t="s">
        <v>48</v>
      </c>
      <c r="C113" s="170"/>
      <c r="D113" s="170"/>
      <c r="E113" s="170"/>
      <c r="F113" s="170"/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  <c r="R113" s="170"/>
      <c r="S113" s="170"/>
      <c r="T113" s="171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  <c r="AO113" s="93"/>
      <c r="AP113" s="93"/>
      <c r="AQ113" s="93"/>
      <c r="AR113" s="93"/>
      <c r="AS113" s="93"/>
      <c r="AT113" s="93"/>
      <c r="AU113" s="93"/>
      <c r="AV113" s="93"/>
      <c r="AW113" s="93"/>
      <c r="AX113" s="93"/>
      <c r="AY113" s="93"/>
      <c r="AZ113" s="93"/>
      <c r="BA113" s="93"/>
      <c r="BB113" s="93"/>
      <c r="BC113" s="93"/>
      <c r="BD113" s="93"/>
      <c r="BE113" s="93"/>
      <c r="BF113" s="93"/>
      <c r="BG113" s="93"/>
      <c r="BH113" s="93"/>
      <c r="BI113" s="93"/>
      <c r="BJ113" s="93"/>
      <c r="BK113" s="93"/>
      <c r="BL113" s="93"/>
      <c r="BM113" s="93"/>
      <c r="BN113" s="93"/>
      <c r="BO113" s="93"/>
      <c r="BP113" s="93"/>
      <c r="BQ113" s="93"/>
      <c r="BR113" s="93"/>
      <c r="BS113" s="93"/>
      <c r="BT113" s="93"/>
      <c r="BU113" s="93"/>
      <c r="BV113" s="93"/>
      <c r="BW113" s="93"/>
      <c r="BX113" s="93"/>
      <c r="BY113" s="93"/>
      <c r="BZ113" s="93"/>
    </row>
    <row r="114" spans="1:78" s="79" customFormat="1" ht="22.15" customHeight="1" x14ac:dyDescent="0.2">
      <c r="A114" s="95"/>
      <c r="B114" s="99" t="s">
        <v>72</v>
      </c>
      <c r="C114" s="97"/>
      <c r="D114" s="98">
        <v>3</v>
      </c>
      <c r="E114" s="52" t="str">
        <f>IF(B15="","",B15)</f>
        <v>APCL_03</v>
      </c>
      <c r="F114" s="55" t="str">
        <f>IF(D15="","",D15)</f>
        <v/>
      </c>
      <c r="G114" s="55" t="s">
        <v>34</v>
      </c>
      <c r="H114" s="52" t="s">
        <v>12</v>
      </c>
      <c r="I114" s="55" t="s">
        <v>76</v>
      </c>
      <c r="J114" s="55"/>
      <c r="K114" s="55"/>
      <c r="L114" s="55"/>
      <c r="M114" s="56"/>
      <c r="N114" s="56"/>
      <c r="O114" s="56"/>
      <c r="P114" s="56"/>
      <c r="Q114" s="56"/>
      <c r="R114" s="56"/>
      <c r="S114" s="12"/>
      <c r="T114" s="76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  <c r="AY114" s="78"/>
      <c r="AZ114" s="78"/>
      <c r="BA114" s="78"/>
      <c r="BB114" s="78"/>
      <c r="BC114" s="78"/>
      <c r="BD114" s="78"/>
      <c r="BE114" s="78"/>
      <c r="BF114" s="78"/>
      <c r="BG114" s="78"/>
      <c r="BH114" s="78"/>
      <c r="BI114" s="78"/>
      <c r="BJ114" s="78"/>
      <c r="BK114" s="78"/>
      <c r="BL114" s="78"/>
      <c r="BM114" s="78"/>
      <c r="BN114" s="78"/>
      <c r="BO114" s="78"/>
      <c r="BP114" s="78"/>
      <c r="BQ114" s="78"/>
      <c r="BR114" s="78"/>
      <c r="BS114" s="78"/>
      <c r="BT114" s="78"/>
      <c r="BU114" s="78"/>
      <c r="BV114" s="78"/>
      <c r="BW114" s="78"/>
      <c r="BX114" s="78"/>
      <c r="BY114" s="78"/>
      <c r="BZ114" s="78"/>
    </row>
    <row r="115" spans="1:78" s="79" customFormat="1" ht="22.15" customHeight="1" x14ac:dyDescent="0.2">
      <c r="A115" s="95"/>
      <c r="B115" s="99" t="s">
        <v>73</v>
      </c>
      <c r="C115" s="96"/>
      <c r="D115" s="59">
        <v>6</v>
      </c>
      <c r="E115" s="52" t="str">
        <f>IF(B15="","",B15)</f>
        <v>APCL_03</v>
      </c>
      <c r="F115" s="52" t="str">
        <f>IF(D15="","",D15)</f>
        <v/>
      </c>
      <c r="G115" s="55" t="s">
        <v>34</v>
      </c>
      <c r="H115" s="52" t="s">
        <v>12</v>
      </c>
      <c r="I115" s="55" t="s">
        <v>76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73"/>
      <c r="T115" s="75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78"/>
      <c r="AK115" s="78"/>
      <c r="AL115" s="78"/>
      <c r="AM115" s="78"/>
      <c r="AN115" s="78"/>
      <c r="AO115" s="78"/>
      <c r="AP115" s="78"/>
      <c r="AQ115" s="78"/>
      <c r="AR115" s="78"/>
      <c r="AS115" s="78"/>
      <c r="AT115" s="78"/>
      <c r="AU115" s="78"/>
      <c r="AV115" s="78"/>
      <c r="AW115" s="78"/>
      <c r="AX115" s="78"/>
      <c r="AY115" s="78"/>
      <c r="AZ115" s="78"/>
      <c r="BA115" s="78"/>
      <c r="BB115" s="78"/>
      <c r="BC115" s="78"/>
      <c r="BD115" s="78"/>
      <c r="BE115" s="78"/>
      <c r="BF115" s="78"/>
      <c r="BG115" s="78"/>
      <c r="BH115" s="78"/>
      <c r="BI115" s="78"/>
      <c r="BJ115" s="78"/>
      <c r="BK115" s="78"/>
      <c r="BL115" s="78"/>
      <c r="BM115" s="78"/>
      <c r="BN115" s="78"/>
      <c r="BO115" s="78"/>
      <c r="BP115" s="78"/>
      <c r="BQ115" s="78"/>
      <c r="BR115" s="78"/>
      <c r="BS115" s="78"/>
      <c r="BT115" s="78"/>
      <c r="BU115" s="78"/>
      <c r="BV115" s="78"/>
      <c r="BW115" s="78"/>
      <c r="BX115" s="78"/>
      <c r="BY115" s="78"/>
      <c r="BZ115" s="78"/>
    </row>
    <row r="116" spans="1:78" s="94" customFormat="1" ht="22.15" customHeight="1" x14ac:dyDescent="0.2">
      <c r="A116" s="92"/>
      <c r="B116" s="169" t="s">
        <v>49</v>
      </c>
      <c r="C116" s="170"/>
      <c r="D116" s="170"/>
      <c r="E116" s="170"/>
      <c r="F116" s="170"/>
      <c r="G116" s="170"/>
      <c r="H116" s="170"/>
      <c r="I116" s="170"/>
      <c r="J116" s="170"/>
      <c r="K116" s="170"/>
      <c r="L116" s="170"/>
      <c r="M116" s="170"/>
      <c r="N116" s="170"/>
      <c r="O116" s="170"/>
      <c r="P116" s="170"/>
      <c r="Q116" s="170"/>
      <c r="R116" s="170"/>
      <c r="S116" s="170"/>
      <c r="T116" s="171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  <c r="AO116" s="93"/>
      <c r="AP116" s="93"/>
      <c r="AQ116" s="93"/>
      <c r="AR116" s="93"/>
      <c r="AS116" s="93"/>
      <c r="AT116" s="93"/>
      <c r="AU116" s="93"/>
      <c r="AV116" s="93"/>
      <c r="AW116" s="93"/>
      <c r="AX116" s="93"/>
      <c r="AY116" s="93"/>
      <c r="AZ116" s="93"/>
      <c r="BA116" s="93"/>
      <c r="BB116" s="93"/>
      <c r="BC116" s="93"/>
      <c r="BD116" s="93"/>
      <c r="BE116" s="93"/>
      <c r="BF116" s="93"/>
      <c r="BG116" s="93"/>
      <c r="BH116" s="93"/>
      <c r="BI116" s="93"/>
      <c r="BJ116" s="93"/>
      <c r="BK116" s="93"/>
      <c r="BL116" s="93"/>
      <c r="BM116" s="93"/>
      <c r="BN116" s="93"/>
      <c r="BO116" s="93"/>
      <c r="BP116" s="93"/>
      <c r="BQ116" s="93"/>
      <c r="BR116" s="93"/>
      <c r="BS116" s="93"/>
      <c r="BT116" s="93"/>
      <c r="BU116" s="93"/>
      <c r="BV116" s="93"/>
      <c r="BW116" s="93"/>
      <c r="BX116" s="93"/>
      <c r="BY116" s="93"/>
      <c r="BZ116" s="93"/>
    </row>
    <row r="117" spans="1:78" s="79" customFormat="1" ht="22.15" customHeight="1" x14ac:dyDescent="0.2">
      <c r="A117" s="95"/>
      <c r="B117" s="59">
        <v>1</v>
      </c>
      <c r="C117" s="97"/>
      <c r="D117" s="98">
        <v>2</v>
      </c>
      <c r="E117" s="52" t="str">
        <f>IF(B18="","",B18)</f>
        <v>APCL_06</v>
      </c>
      <c r="F117" s="55">
        <f>IF(D18="","",D18)</f>
        <v>-1000</v>
      </c>
      <c r="G117" s="17"/>
      <c r="H117" s="52"/>
      <c r="I117" s="55"/>
      <c r="J117" s="55"/>
      <c r="K117" s="55"/>
      <c r="L117" s="55"/>
      <c r="M117" s="56"/>
      <c r="N117" s="56"/>
      <c r="O117" s="56"/>
      <c r="P117" s="56"/>
      <c r="Q117" s="56"/>
      <c r="R117" s="56"/>
      <c r="S117" s="12"/>
      <c r="T117" s="76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  <c r="AY117" s="78"/>
      <c r="AZ117" s="78"/>
      <c r="BA117" s="78"/>
      <c r="BB117" s="78"/>
      <c r="BC117" s="78"/>
      <c r="BD117" s="78"/>
      <c r="BE117" s="78"/>
      <c r="BF117" s="78"/>
      <c r="BG117" s="78"/>
      <c r="BH117" s="78"/>
      <c r="BI117" s="78"/>
      <c r="BJ117" s="78"/>
      <c r="BK117" s="78"/>
      <c r="BL117" s="78"/>
      <c r="BM117" s="78"/>
      <c r="BN117" s="78"/>
      <c r="BO117" s="78"/>
      <c r="BP117" s="78"/>
      <c r="BQ117" s="78"/>
      <c r="BR117" s="78"/>
      <c r="BS117" s="78"/>
      <c r="BT117" s="78"/>
      <c r="BU117" s="78"/>
      <c r="BV117" s="78"/>
      <c r="BW117" s="78"/>
      <c r="BX117" s="78"/>
      <c r="BY117" s="78"/>
      <c r="BZ117" s="78"/>
    </row>
    <row r="118" spans="1:78" s="94" customFormat="1" ht="22.15" customHeight="1" x14ac:dyDescent="0.2">
      <c r="A118" s="92"/>
      <c r="B118" s="169" t="s">
        <v>214</v>
      </c>
      <c r="C118" s="170"/>
      <c r="D118" s="170"/>
      <c r="E118" s="170"/>
      <c r="F118" s="170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1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  <c r="AO118" s="93"/>
      <c r="AP118" s="93"/>
      <c r="AQ118" s="93"/>
      <c r="AR118" s="93"/>
      <c r="AS118" s="93"/>
      <c r="AT118" s="93"/>
      <c r="AU118" s="93"/>
      <c r="AV118" s="93"/>
      <c r="AW118" s="93"/>
      <c r="AX118" s="93"/>
      <c r="AY118" s="93"/>
      <c r="AZ118" s="93"/>
      <c r="BA118" s="93"/>
      <c r="BB118" s="93"/>
      <c r="BC118" s="93"/>
      <c r="BD118" s="93"/>
      <c r="BE118" s="93"/>
      <c r="BF118" s="93"/>
      <c r="BG118" s="93"/>
      <c r="BH118" s="93"/>
      <c r="BI118" s="93"/>
      <c r="BJ118" s="93"/>
      <c r="BK118" s="93"/>
      <c r="BL118" s="93"/>
      <c r="BM118" s="93"/>
      <c r="BN118" s="93"/>
      <c r="BO118" s="93"/>
      <c r="BP118" s="93"/>
      <c r="BQ118" s="93"/>
      <c r="BR118" s="93"/>
      <c r="BS118" s="93"/>
      <c r="BT118" s="93"/>
      <c r="BU118" s="93"/>
      <c r="BV118" s="93"/>
      <c r="BW118" s="93"/>
      <c r="BX118" s="93"/>
      <c r="BY118" s="93"/>
      <c r="BZ118" s="93"/>
    </row>
    <row r="119" spans="1:78" s="79" customFormat="1" ht="22.15" customHeight="1" x14ac:dyDescent="0.2">
      <c r="A119" s="95"/>
      <c r="B119" s="59">
        <v>1</v>
      </c>
      <c r="C119" s="97"/>
      <c r="D119" s="98"/>
      <c r="E119" s="52"/>
      <c r="F119" s="55"/>
      <c r="G119" s="55"/>
      <c r="H119" s="52"/>
      <c r="I119" s="55"/>
      <c r="J119" s="55"/>
      <c r="K119" s="55"/>
      <c r="L119" s="55"/>
      <c r="M119" s="56"/>
      <c r="N119" s="56"/>
      <c r="O119" s="56"/>
      <c r="P119" s="56"/>
      <c r="Q119" s="56" t="str">
        <f>IF(D39="","",D39)</f>
        <v/>
      </c>
      <c r="R119" s="56"/>
      <c r="S119" s="12"/>
      <c r="T119" s="76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8"/>
      <c r="AK119" s="78"/>
      <c r="AL119" s="78"/>
      <c r="AM119" s="78"/>
      <c r="AN119" s="78"/>
      <c r="AO119" s="78"/>
      <c r="AP119" s="78"/>
      <c r="AQ119" s="78"/>
      <c r="AR119" s="78"/>
      <c r="AS119" s="78"/>
      <c r="AT119" s="78"/>
      <c r="AU119" s="78"/>
      <c r="AV119" s="78"/>
      <c r="AW119" s="78"/>
      <c r="AX119" s="78"/>
      <c r="AY119" s="78"/>
      <c r="AZ119" s="78"/>
      <c r="BA119" s="78"/>
      <c r="BB119" s="78"/>
      <c r="BC119" s="78"/>
      <c r="BD119" s="78"/>
      <c r="BE119" s="78"/>
      <c r="BF119" s="78"/>
      <c r="BG119" s="78"/>
      <c r="BH119" s="78"/>
      <c r="BI119" s="78"/>
      <c r="BJ119" s="78"/>
      <c r="BK119" s="78"/>
      <c r="BL119" s="78"/>
      <c r="BM119" s="78"/>
      <c r="BN119" s="78"/>
      <c r="BO119" s="78"/>
      <c r="BP119" s="78"/>
      <c r="BQ119" s="78"/>
      <c r="BR119" s="78"/>
      <c r="BS119" s="78"/>
      <c r="BT119" s="78"/>
      <c r="BU119" s="78"/>
      <c r="BV119" s="78"/>
      <c r="BW119" s="78"/>
      <c r="BX119" s="78"/>
      <c r="BY119" s="78"/>
      <c r="BZ119" s="78"/>
    </row>
    <row r="120" spans="1:78" s="94" customFormat="1" ht="22.15" customHeight="1" x14ac:dyDescent="0.2">
      <c r="A120" s="92"/>
      <c r="B120" s="169" t="s">
        <v>215</v>
      </c>
      <c r="C120" s="170"/>
      <c r="D120" s="170"/>
      <c r="E120" s="170"/>
      <c r="F120" s="170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1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  <c r="AO120" s="93"/>
      <c r="AP120" s="93"/>
      <c r="AQ120" s="93"/>
      <c r="AR120" s="93"/>
      <c r="AS120" s="93"/>
      <c r="AT120" s="93"/>
      <c r="AU120" s="93"/>
      <c r="AV120" s="93"/>
      <c r="AW120" s="93"/>
      <c r="AX120" s="93"/>
      <c r="AY120" s="93"/>
      <c r="AZ120" s="93"/>
      <c r="BA120" s="93"/>
      <c r="BB120" s="93"/>
      <c r="BC120" s="93"/>
      <c r="BD120" s="93"/>
      <c r="BE120" s="93"/>
      <c r="BF120" s="93"/>
      <c r="BG120" s="93"/>
      <c r="BH120" s="93"/>
      <c r="BI120" s="93"/>
      <c r="BJ120" s="93"/>
      <c r="BK120" s="93"/>
      <c r="BL120" s="93"/>
      <c r="BM120" s="93"/>
      <c r="BN120" s="93"/>
      <c r="BO120" s="93"/>
      <c r="BP120" s="93"/>
      <c r="BQ120" s="93"/>
      <c r="BR120" s="93"/>
      <c r="BS120" s="93"/>
      <c r="BT120" s="93"/>
      <c r="BU120" s="93"/>
      <c r="BV120" s="93"/>
      <c r="BW120" s="93"/>
      <c r="BX120" s="93"/>
      <c r="BY120" s="93"/>
      <c r="BZ120" s="93"/>
    </row>
    <row r="121" spans="1:78" s="79" customFormat="1" ht="22.15" customHeight="1" x14ac:dyDescent="0.2">
      <c r="A121" s="95"/>
      <c r="B121" s="59">
        <v>1</v>
      </c>
      <c r="C121" s="97"/>
      <c r="D121" s="98"/>
      <c r="E121" s="52"/>
      <c r="F121" s="55"/>
      <c r="G121" s="55"/>
      <c r="H121" s="52"/>
      <c r="I121" s="55"/>
      <c r="J121" s="55"/>
      <c r="K121" s="55"/>
      <c r="L121" s="55"/>
      <c r="M121" s="56"/>
      <c r="N121" s="56"/>
      <c r="O121" s="56"/>
      <c r="P121" s="56" t="str">
        <f>IF(D37="","",D37)</f>
        <v/>
      </c>
      <c r="Q121" s="56"/>
      <c r="R121" s="56"/>
      <c r="S121" s="12"/>
      <c r="T121" s="76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  <c r="AY121" s="78"/>
      <c r="AZ121" s="78"/>
      <c r="BA121" s="78"/>
      <c r="BB121" s="78"/>
      <c r="BC121" s="78"/>
      <c r="BD121" s="78"/>
      <c r="BE121" s="78"/>
      <c r="BF121" s="78"/>
      <c r="BG121" s="78"/>
      <c r="BH121" s="78"/>
      <c r="BI121" s="78"/>
      <c r="BJ121" s="78"/>
      <c r="BK121" s="78"/>
      <c r="BL121" s="78"/>
      <c r="BM121" s="78"/>
      <c r="BN121" s="78"/>
      <c r="BO121" s="78"/>
      <c r="BP121" s="78"/>
      <c r="BQ121" s="78"/>
      <c r="BR121" s="78"/>
      <c r="BS121" s="78"/>
      <c r="BT121" s="78"/>
      <c r="BU121" s="78"/>
      <c r="BV121" s="78"/>
      <c r="BW121" s="78"/>
      <c r="BX121" s="78"/>
      <c r="BY121" s="78"/>
      <c r="BZ121" s="78"/>
    </row>
    <row r="122" spans="1:78" s="94" customFormat="1" ht="22.15" customHeight="1" x14ac:dyDescent="0.2">
      <c r="A122" s="92"/>
      <c r="B122" s="169" t="s">
        <v>50</v>
      </c>
      <c r="C122" s="170"/>
      <c r="D122" s="170"/>
      <c r="E122" s="170"/>
      <c r="F122" s="170"/>
      <c r="G122" s="170"/>
      <c r="H122" s="170"/>
      <c r="I122" s="170"/>
      <c r="J122" s="170"/>
      <c r="K122" s="170"/>
      <c r="L122" s="170"/>
      <c r="M122" s="170"/>
      <c r="N122" s="170"/>
      <c r="O122" s="170"/>
      <c r="P122" s="170"/>
      <c r="Q122" s="170"/>
      <c r="R122" s="170"/>
      <c r="S122" s="170"/>
      <c r="T122" s="171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  <c r="AO122" s="93"/>
      <c r="AP122" s="93"/>
      <c r="AQ122" s="93"/>
      <c r="AR122" s="93"/>
      <c r="AS122" s="93"/>
      <c r="AT122" s="93"/>
      <c r="AU122" s="93"/>
      <c r="AV122" s="93"/>
      <c r="AW122" s="93"/>
      <c r="AX122" s="93"/>
      <c r="AY122" s="93"/>
      <c r="AZ122" s="93"/>
      <c r="BA122" s="93"/>
      <c r="BB122" s="93"/>
      <c r="BC122" s="93"/>
      <c r="BD122" s="93"/>
      <c r="BE122" s="93"/>
      <c r="BF122" s="93"/>
      <c r="BG122" s="93"/>
      <c r="BH122" s="93"/>
      <c r="BI122" s="93"/>
      <c r="BJ122" s="93"/>
      <c r="BK122" s="93"/>
      <c r="BL122" s="93"/>
      <c r="BM122" s="93"/>
      <c r="BN122" s="93"/>
      <c r="BO122" s="93"/>
      <c r="BP122" s="93"/>
      <c r="BQ122" s="93"/>
      <c r="BR122" s="93"/>
      <c r="BS122" s="93"/>
      <c r="BT122" s="93"/>
      <c r="BU122" s="93"/>
      <c r="BV122" s="93"/>
      <c r="BW122" s="93"/>
      <c r="BX122" s="93"/>
      <c r="BY122" s="93"/>
      <c r="BZ122" s="93"/>
    </row>
    <row r="123" spans="1:78" s="79" customFormat="1" ht="22.15" customHeight="1" x14ac:dyDescent="0.2">
      <c r="A123" s="95"/>
      <c r="B123" s="99" t="s">
        <v>72</v>
      </c>
      <c r="C123" s="97"/>
      <c r="D123" s="98">
        <v>4</v>
      </c>
      <c r="E123" s="52" t="str">
        <f>IF(B15="","",B15)</f>
        <v>APCL_03</v>
      </c>
      <c r="F123" s="55" t="str">
        <f>IF(D15="","",D15)</f>
        <v/>
      </c>
      <c r="G123" s="17"/>
      <c r="H123" s="52"/>
      <c r="I123" s="55"/>
      <c r="J123" s="55">
        <v>5</v>
      </c>
      <c r="K123" s="52" t="str">
        <f>IF(B26="","",B26)</f>
        <v>FCAPL_03</v>
      </c>
      <c r="L123" s="55" t="str">
        <f>IF(D26="","",D26)</f>
        <v/>
      </c>
      <c r="M123" s="56">
        <v>6</v>
      </c>
      <c r="N123" s="56" t="str">
        <f>IF(B34="","",B34)</f>
        <v>FCAPL_DUR_02</v>
      </c>
      <c r="O123" s="56" t="str">
        <f>IF(D34="","",D34)</f>
        <v/>
      </c>
      <c r="P123" s="56"/>
      <c r="Q123" s="56"/>
      <c r="R123" s="56"/>
      <c r="S123" s="12"/>
      <c r="T123" s="76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78"/>
      <c r="BH123" s="78"/>
      <c r="BI123" s="78"/>
      <c r="BJ123" s="78"/>
      <c r="BK123" s="78"/>
      <c r="BL123" s="78"/>
      <c r="BM123" s="78"/>
      <c r="BN123" s="78"/>
      <c r="BO123" s="78"/>
      <c r="BP123" s="78"/>
      <c r="BQ123" s="78"/>
      <c r="BR123" s="78"/>
      <c r="BS123" s="78"/>
      <c r="BT123" s="78"/>
      <c r="BU123" s="78"/>
      <c r="BV123" s="78"/>
      <c r="BW123" s="78"/>
      <c r="BX123" s="78"/>
      <c r="BY123" s="78"/>
      <c r="BZ123" s="78"/>
    </row>
    <row r="124" spans="1:78" s="79" customFormat="1" ht="22.15" customHeight="1" x14ac:dyDescent="0.2">
      <c r="A124" s="95"/>
      <c r="B124" s="99" t="s">
        <v>73</v>
      </c>
      <c r="C124" s="96"/>
      <c r="D124" s="59">
        <v>8</v>
      </c>
      <c r="E124" s="52" t="str">
        <f>IF(B15="","",B15)</f>
        <v>APCL_03</v>
      </c>
      <c r="F124" s="52" t="str">
        <f>IF(D15="","",D15)</f>
        <v/>
      </c>
      <c r="G124" s="73"/>
      <c r="H124" s="52"/>
      <c r="I124" s="52"/>
      <c r="J124" s="52">
        <v>10</v>
      </c>
      <c r="K124" s="52" t="str">
        <f>IF(B26="","",B26)</f>
        <v>FCAPL_03</v>
      </c>
      <c r="L124" s="52" t="str">
        <f>IF(D26="","",D26)</f>
        <v/>
      </c>
      <c r="M124" s="56"/>
      <c r="N124" s="56"/>
      <c r="O124" s="52"/>
      <c r="P124" s="52"/>
      <c r="Q124" s="52"/>
      <c r="R124" s="52"/>
      <c r="S124" s="73"/>
      <c r="T124" s="75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  <c r="AY124" s="78"/>
      <c r="AZ124" s="78"/>
      <c r="BA124" s="78"/>
      <c r="BB124" s="78"/>
      <c r="BC124" s="78"/>
      <c r="BD124" s="78"/>
      <c r="BE124" s="78"/>
      <c r="BF124" s="78"/>
      <c r="BG124" s="78"/>
      <c r="BH124" s="78"/>
      <c r="BI124" s="78"/>
      <c r="BJ124" s="78"/>
      <c r="BK124" s="78"/>
      <c r="BL124" s="78"/>
      <c r="BM124" s="78"/>
      <c r="BN124" s="78"/>
      <c r="BO124" s="78"/>
      <c r="BP124" s="78"/>
      <c r="BQ124" s="78"/>
      <c r="BR124" s="78"/>
      <c r="BS124" s="78"/>
      <c r="BT124" s="78"/>
      <c r="BU124" s="78"/>
      <c r="BV124" s="78"/>
      <c r="BW124" s="78"/>
      <c r="BX124" s="78"/>
      <c r="BY124" s="78"/>
      <c r="BZ124" s="78"/>
    </row>
    <row r="125" spans="1:78" s="94" customFormat="1" ht="22.15" customHeight="1" x14ac:dyDescent="0.2">
      <c r="A125" s="92"/>
      <c r="B125" s="169" t="s">
        <v>88</v>
      </c>
      <c r="C125" s="170"/>
      <c r="D125" s="170"/>
      <c r="E125" s="170"/>
      <c r="F125" s="170"/>
      <c r="G125" s="170"/>
      <c r="H125" s="170"/>
      <c r="I125" s="170"/>
      <c r="J125" s="170"/>
      <c r="K125" s="170"/>
      <c r="L125" s="170"/>
      <c r="M125" s="170"/>
      <c r="N125" s="170"/>
      <c r="O125" s="170"/>
      <c r="P125" s="170"/>
      <c r="Q125" s="170"/>
      <c r="R125" s="170"/>
      <c r="S125" s="170"/>
      <c r="T125" s="171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  <c r="AO125" s="93"/>
      <c r="AP125" s="93"/>
      <c r="AQ125" s="93"/>
      <c r="AR125" s="93"/>
      <c r="AS125" s="93"/>
      <c r="AT125" s="93"/>
      <c r="AU125" s="93"/>
      <c r="AV125" s="93"/>
      <c r="AW125" s="93"/>
      <c r="AX125" s="93"/>
      <c r="AY125" s="93"/>
      <c r="AZ125" s="93"/>
      <c r="BA125" s="93"/>
      <c r="BB125" s="93"/>
      <c r="BC125" s="93"/>
      <c r="BD125" s="93"/>
      <c r="BE125" s="93"/>
      <c r="BF125" s="93"/>
      <c r="BG125" s="93"/>
      <c r="BH125" s="93"/>
      <c r="BI125" s="93"/>
      <c r="BJ125" s="93"/>
      <c r="BK125" s="93"/>
      <c r="BL125" s="93"/>
      <c r="BM125" s="93"/>
      <c r="BN125" s="93"/>
      <c r="BO125" s="93"/>
      <c r="BP125" s="93"/>
      <c r="BQ125" s="93"/>
      <c r="BR125" s="93"/>
      <c r="BS125" s="93"/>
      <c r="BT125" s="93"/>
      <c r="BU125" s="93"/>
      <c r="BV125" s="93"/>
      <c r="BW125" s="93"/>
      <c r="BX125" s="93"/>
      <c r="BY125" s="93"/>
      <c r="BZ125" s="93"/>
    </row>
    <row r="126" spans="1:78" s="79" customFormat="1" ht="22.15" customHeight="1" x14ac:dyDescent="0.2">
      <c r="A126" s="95"/>
      <c r="B126" s="59">
        <v>1</v>
      </c>
      <c r="C126" s="97"/>
      <c r="D126" s="98"/>
      <c r="E126" s="52"/>
      <c r="F126" s="55"/>
      <c r="G126" s="55"/>
      <c r="H126" s="52"/>
      <c r="I126" s="55"/>
      <c r="J126" s="55"/>
      <c r="K126" s="55"/>
      <c r="L126" s="55"/>
      <c r="M126" s="56"/>
      <c r="N126" s="56"/>
      <c r="O126" s="56"/>
      <c r="P126" s="56"/>
      <c r="Q126" s="56"/>
      <c r="R126" s="56"/>
      <c r="S126" s="12"/>
      <c r="T126" s="76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  <c r="AY126" s="78"/>
      <c r="AZ126" s="78"/>
      <c r="BA126" s="78"/>
      <c r="BB126" s="78"/>
      <c r="BC126" s="78"/>
      <c r="BD126" s="78"/>
      <c r="BE126" s="78"/>
      <c r="BF126" s="78"/>
      <c r="BG126" s="78"/>
      <c r="BH126" s="78"/>
      <c r="BI126" s="78"/>
      <c r="BJ126" s="78"/>
      <c r="BK126" s="78"/>
      <c r="BL126" s="78"/>
      <c r="BM126" s="78"/>
      <c r="BN126" s="78"/>
      <c r="BO126" s="78"/>
      <c r="BP126" s="78"/>
      <c r="BQ126" s="78"/>
      <c r="BR126" s="78"/>
      <c r="BS126" s="78"/>
      <c r="BT126" s="78"/>
      <c r="BU126" s="78"/>
      <c r="BV126" s="78"/>
      <c r="BW126" s="78"/>
      <c r="BX126" s="78"/>
      <c r="BY126" s="78"/>
      <c r="BZ126" s="78"/>
    </row>
    <row r="127" spans="1:78" s="94" customFormat="1" ht="22.15" customHeight="1" x14ac:dyDescent="0.2">
      <c r="A127" s="92"/>
      <c r="B127" s="169" t="s">
        <v>51</v>
      </c>
      <c r="C127" s="170"/>
      <c r="D127" s="170"/>
      <c r="E127" s="170"/>
      <c r="F127" s="170"/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  <c r="R127" s="170"/>
      <c r="S127" s="170"/>
      <c r="T127" s="171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  <c r="AO127" s="93"/>
      <c r="AP127" s="93"/>
      <c r="AQ127" s="93"/>
      <c r="AR127" s="93"/>
      <c r="AS127" s="93"/>
      <c r="AT127" s="93"/>
      <c r="AU127" s="93"/>
      <c r="AV127" s="93"/>
      <c r="AW127" s="93"/>
      <c r="AX127" s="93"/>
      <c r="AY127" s="93"/>
      <c r="AZ127" s="93"/>
      <c r="BA127" s="93"/>
      <c r="BB127" s="93"/>
      <c r="BC127" s="93"/>
      <c r="BD127" s="93"/>
      <c r="BE127" s="93"/>
      <c r="BF127" s="93"/>
      <c r="BG127" s="93"/>
      <c r="BH127" s="93"/>
      <c r="BI127" s="93"/>
      <c r="BJ127" s="93"/>
      <c r="BK127" s="93"/>
      <c r="BL127" s="93"/>
      <c r="BM127" s="93"/>
      <c r="BN127" s="93"/>
      <c r="BO127" s="93"/>
      <c r="BP127" s="93"/>
      <c r="BQ127" s="93"/>
      <c r="BR127" s="93"/>
      <c r="BS127" s="93"/>
      <c r="BT127" s="93"/>
      <c r="BU127" s="93"/>
      <c r="BV127" s="93"/>
      <c r="BW127" s="93"/>
      <c r="BX127" s="93"/>
      <c r="BY127" s="93"/>
      <c r="BZ127" s="93"/>
    </row>
    <row r="128" spans="1:78" s="79" customFormat="1" ht="22.15" customHeight="1" x14ac:dyDescent="0.2">
      <c r="A128" s="95"/>
      <c r="B128" s="59">
        <v>1</v>
      </c>
      <c r="C128" s="97"/>
      <c r="D128" s="98"/>
      <c r="E128" s="52"/>
      <c r="F128" s="55"/>
      <c r="G128" s="55"/>
      <c r="H128" s="52"/>
      <c r="I128" s="55"/>
      <c r="J128" s="55"/>
      <c r="K128" s="55"/>
      <c r="L128" s="55"/>
      <c r="M128" s="56">
        <v>4</v>
      </c>
      <c r="N128" s="56" t="str">
        <f>IF(B34="","",B34)</f>
        <v>FCAPL_DUR_02</v>
      </c>
      <c r="O128" s="56" t="str">
        <f>IF(D34="","",D34)</f>
        <v/>
      </c>
      <c r="P128" s="56"/>
      <c r="Q128" s="56"/>
      <c r="R128" s="56"/>
      <c r="S128" s="12"/>
      <c r="T128" s="76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  <c r="AY128" s="78"/>
      <c r="AZ128" s="78"/>
      <c r="BA128" s="78"/>
      <c r="BB128" s="78"/>
      <c r="BC128" s="78"/>
      <c r="BD128" s="78"/>
      <c r="BE128" s="78"/>
      <c r="BF128" s="78"/>
      <c r="BG128" s="78"/>
      <c r="BH128" s="78"/>
      <c r="BI128" s="78"/>
      <c r="BJ128" s="78"/>
      <c r="BK128" s="78"/>
      <c r="BL128" s="78"/>
      <c r="BM128" s="78"/>
      <c r="BN128" s="78"/>
      <c r="BO128" s="78"/>
      <c r="BP128" s="78"/>
      <c r="BQ128" s="78"/>
      <c r="BR128" s="78"/>
      <c r="BS128" s="78"/>
      <c r="BT128" s="78"/>
      <c r="BU128" s="78"/>
      <c r="BV128" s="78"/>
      <c r="BW128" s="78"/>
      <c r="BX128" s="78"/>
      <c r="BY128" s="78"/>
      <c r="BZ128" s="78"/>
    </row>
    <row r="129" spans="1:78" s="94" customFormat="1" ht="22.15" customHeight="1" x14ac:dyDescent="0.2">
      <c r="A129" s="92"/>
      <c r="B129" s="169" t="s">
        <v>52</v>
      </c>
      <c r="C129" s="170"/>
      <c r="D129" s="170"/>
      <c r="E129" s="170"/>
      <c r="F129" s="170"/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1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  <c r="AP129" s="93"/>
      <c r="AQ129" s="93"/>
      <c r="AR129" s="93"/>
      <c r="AS129" s="93"/>
      <c r="AT129" s="93"/>
      <c r="AU129" s="93"/>
      <c r="AV129" s="93"/>
      <c r="AW129" s="93"/>
      <c r="AX129" s="93"/>
      <c r="AY129" s="93"/>
      <c r="AZ129" s="93"/>
      <c r="BA129" s="93"/>
      <c r="BB129" s="93"/>
      <c r="BC129" s="93"/>
      <c r="BD129" s="93"/>
      <c r="BE129" s="93"/>
      <c r="BF129" s="93"/>
      <c r="BG129" s="93"/>
      <c r="BH129" s="93"/>
      <c r="BI129" s="93"/>
      <c r="BJ129" s="93"/>
      <c r="BK129" s="93"/>
      <c r="BL129" s="93"/>
      <c r="BM129" s="93"/>
      <c r="BN129" s="93"/>
      <c r="BO129" s="93"/>
      <c r="BP129" s="93"/>
      <c r="BQ129" s="93"/>
      <c r="BR129" s="93"/>
      <c r="BS129" s="93"/>
      <c r="BT129" s="93"/>
      <c r="BU129" s="93"/>
      <c r="BV129" s="93"/>
      <c r="BW129" s="93"/>
      <c r="BX129" s="93"/>
      <c r="BY129" s="93"/>
      <c r="BZ129" s="93"/>
    </row>
    <row r="130" spans="1:78" s="79" customFormat="1" ht="22.15" customHeight="1" x14ac:dyDescent="0.2">
      <c r="A130" s="95"/>
      <c r="B130" s="99" t="s">
        <v>72</v>
      </c>
      <c r="C130" s="97"/>
      <c r="D130" s="98">
        <v>3</v>
      </c>
      <c r="E130" s="52" t="str">
        <f>IF(B15="","",B15)</f>
        <v>APCL_03</v>
      </c>
      <c r="F130" s="55" t="str">
        <f>IF(D15="","",D15)</f>
        <v/>
      </c>
      <c r="G130" s="17"/>
      <c r="H130" s="52"/>
      <c r="I130" s="55"/>
      <c r="J130" s="55">
        <v>4</v>
      </c>
      <c r="K130" s="52" t="str">
        <f>IF(B26="","",B26)</f>
        <v>FCAPL_03</v>
      </c>
      <c r="L130" s="55" t="str">
        <f>IF(D26="","",D26)</f>
        <v/>
      </c>
      <c r="M130" s="56"/>
      <c r="N130" s="56"/>
      <c r="O130" s="56"/>
      <c r="P130" s="56"/>
      <c r="Q130" s="56"/>
      <c r="R130" s="56"/>
      <c r="S130" s="12"/>
      <c r="T130" s="76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  <c r="AY130" s="78"/>
      <c r="AZ130" s="78"/>
      <c r="BA130" s="78"/>
      <c r="BB130" s="78"/>
      <c r="BC130" s="78"/>
      <c r="BD130" s="78"/>
      <c r="BE130" s="78"/>
      <c r="BF130" s="78"/>
      <c r="BG130" s="78"/>
      <c r="BH130" s="78"/>
      <c r="BI130" s="78"/>
      <c r="BJ130" s="78"/>
      <c r="BK130" s="78"/>
      <c r="BL130" s="78"/>
      <c r="BM130" s="78"/>
      <c r="BN130" s="78"/>
      <c r="BO130" s="78"/>
      <c r="BP130" s="78"/>
      <c r="BQ130" s="78"/>
      <c r="BR130" s="78"/>
      <c r="BS130" s="78"/>
      <c r="BT130" s="78"/>
      <c r="BU130" s="78"/>
      <c r="BV130" s="78"/>
      <c r="BW130" s="78"/>
      <c r="BX130" s="78"/>
      <c r="BY130" s="78"/>
      <c r="BZ130" s="78"/>
    </row>
    <row r="131" spans="1:78" s="79" customFormat="1" ht="22.15" customHeight="1" x14ac:dyDescent="0.2">
      <c r="A131" s="95"/>
      <c r="B131" s="99" t="s">
        <v>73</v>
      </c>
      <c r="C131" s="96"/>
      <c r="D131" s="59">
        <v>6</v>
      </c>
      <c r="E131" s="52" t="str">
        <f>IF(B15="","",B15)</f>
        <v>APCL_03</v>
      </c>
      <c r="F131" s="52" t="str">
        <f>IF(D15="","",D15)</f>
        <v/>
      </c>
      <c r="G131" s="73"/>
      <c r="H131" s="52"/>
      <c r="I131" s="52"/>
      <c r="J131" s="52">
        <v>8</v>
      </c>
      <c r="K131" s="52" t="str">
        <f>IF(B26="","",B26)</f>
        <v>FCAPL_03</v>
      </c>
      <c r="L131" s="52" t="str">
        <f>IF(D26="","",D26)</f>
        <v/>
      </c>
      <c r="M131" s="52"/>
      <c r="N131" s="52"/>
      <c r="O131" s="52"/>
      <c r="P131" s="52"/>
      <c r="Q131" s="52"/>
      <c r="R131" s="52"/>
      <c r="S131" s="73"/>
      <c r="T131" s="75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  <c r="AY131" s="78"/>
      <c r="AZ131" s="78"/>
      <c r="BA131" s="78"/>
      <c r="BB131" s="78"/>
      <c r="BC131" s="78"/>
      <c r="BD131" s="78"/>
      <c r="BE131" s="78"/>
      <c r="BF131" s="78"/>
      <c r="BG131" s="78"/>
      <c r="BH131" s="78"/>
      <c r="BI131" s="78"/>
      <c r="BJ131" s="78"/>
      <c r="BK131" s="78"/>
      <c r="BL131" s="78"/>
      <c r="BM131" s="78"/>
      <c r="BN131" s="78"/>
      <c r="BO131" s="78"/>
      <c r="BP131" s="78"/>
      <c r="BQ131" s="78"/>
      <c r="BR131" s="78"/>
      <c r="BS131" s="78"/>
      <c r="BT131" s="78"/>
      <c r="BU131" s="78"/>
      <c r="BV131" s="78"/>
      <c r="BW131" s="78"/>
      <c r="BX131" s="78"/>
      <c r="BY131" s="78"/>
      <c r="BZ131" s="78"/>
    </row>
    <row r="132" spans="1:78" s="94" customFormat="1" ht="22.15" customHeight="1" x14ac:dyDescent="0.2">
      <c r="A132" s="92"/>
      <c r="B132" s="169" t="s">
        <v>89</v>
      </c>
      <c r="C132" s="170"/>
      <c r="D132" s="170"/>
      <c r="E132" s="170"/>
      <c r="F132" s="170"/>
      <c r="G132" s="170"/>
      <c r="H132" s="170"/>
      <c r="I132" s="170"/>
      <c r="J132" s="170"/>
      <c r="K132" s="170"/>
      <c r="L132" s="170"/>
      <c r="M132" s="170"/>
      <c r="N132" s="170"/>
      <c r="O132" s="170"/>
      <c r="P132" s="170"/>
      <c r="Q132" s="170"/>
      <c r="R132" s="170"/>
      <c r="S132" s="170"/>
      <c r="T132" s="171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  <c r="AO132" s="93"/>
      <c r="AP132" s="93"/>
      <c r="AQ132" s="93"/>
      <c r="AR132" s="93"/>
      <c r="AS132" s="93"/>
      <c r="AT132" s="93"/>
      <c r="AU132" s="93"/>
      <c r="AV132" s="93"/>
      <c r="AW132" s="93"/>
      <c r="AX132" s="93"/>
      <c r="AY132" s="93"/>
      <c r="AZ132" s="93"/>
      <c r="BA132" s="93"/>
      <c r="BB132" s="93"/>
      <c r="BC132" s="93"/>
      <c r="BD132" s="93"/>
      <c r="BE132" s="93"/>
      <c r="BF132" s="93"/>
      <c r="BG132" s="93"/>
      <c r="BH132" s="93"/>
      <c r="BI132" s="93"/>
      <c r="BJ132" s="93"/>
      <c r="BK132" s="93"/>
      <c r="BL132" s="93"/>
      <c r="BM132" s="93"/>
      <c r="BN132" s="93"/>
      <c r="BO132" s="93"/>
      <c r="BP132" s="93"/>
      <c r="BQ132" s="93"/>
      <c r="BR132" s="93"/>
      <c r="BS132" s="93"/>
      <c r="BT132" s="93"/>
      <c r="BU132" s="93"/>
      <c r="BV132" s="93"/>
      <c r="BW132" s="93"/>
      <c r="BX132" s="93"/>
      <c r="BY132" s="93"/>
      <c r="BZ132" s="93"/>
    </row>
    <row r="133" spans="1:78" s="79" customFormat="1" ht="22.15" customHeight="1" x14ac:dyDescent="0.2">
      <c r="A133" s="95"/>
      <c r="B133" s="59">
        <v>1</v>
      </c>
      <c r="C133" s="97"/>
      <c r="D133" s="98"/>
      <c r="E133" s="52"/>
      <c r="F133" s="55"/>
      <c r="G133" s="55"/>
      <c r="H133" s="52"/>
      <c r="I133" s="55"/>
      <c r="J133" s="55"/>
      <c r="K133" s="55"/>
      <c r="L133" s="55"/>
      <c r="M133" s="56"/>
      <c r="N133" s="56"/>
      <c r="O133" s="56"/>
      <c r="P133" s="56"/>
      <c r="Q133" s="56"/>
      <c r="R133" s="56"/>
      <c r="S133" s="12"/>
      <c r="T133" s="76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  <c r="AY133" s="78"/>
      <c r="AZ133" s="78"/>
      <c r="BA133" s="78"/>
      <c r="BB133" s="78"/>
      <c r="BC133" s="78"/>
      <c r="BD133" s="78"/>
      <c r="BE133" s="78"/>
      <c r="BF133" s="78"/>
      <c r="BG133" s="78"/>
      <c r="BH133" s="78"/>
      <c r="BI133" s="78"/>
      <c r="BJ133" s="78"/>
      <c r="BK133" s="78"/>
      <c r="BL133" s="78"/>
      <c r="BM133" s="78"/>
      <c r="BN133" s="78"/>
      <c r="BO133" s="78"/>
      <c r="BP133" s="78"/>
      <c r="BQ133" s="78"/>
      <c r="BR133" s="78"/>
      <c r="BS133" s="78"/>
      <c r="BT133" s="78"/>
      <c r="BU133" s="78"/>
      <c r="BV133" s="78"/>
      <c r="BW133" s="78"/>
      <c r="BX133" s="78"/>
      <c r="BY133" s="78"/>
      <c r="BZ133" s="78"/>
    </row>
    <row r="134" spans="1:78" s="94" customFormat="1" ht="22.15" customHeight="1" x14ac:dyDescent="0.2">
      <c r="A134" s="92"/>
      <c r="B134" s="169" t="s">
        <v>53</v>
      </c>
      <c r="C134" s="170"/>
      <c r="D134" s="170"/>
      <c r="E134" s="170"/>
      <c r="F134" s="170"/>
      <c r="G134" s="170"/>
      <c r="H134" s="170"/>
      <c r="I134" s="170"/>
      <c r="J134" s="170"/>
      <c r="K134" s="170"/>
      <c r="L134" s="170"/>
      <c r="M134" s="170"/>
      <c r="N134" s="170"/>
      <c r="O134" s="170"/>
      <c r="P134" s="170"/>
      <c r="Q134" s="170"/>
      <c r="R134" s="170"/>
      <c r="S134" s="170"/>
      <c r="T134" s="171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  <c r="AO134" s="93"/>
      <c r="AP134" s="93"/>
      <c r="AQ134" s="93"/>
      <c r="AR134" s="93"/>
      <c r="AS134" s="93"/>
      <c r="AT134" s="93"/>
      <c r="AU134" s="93"/>
      <c r="AV134" s="93"/>
      <c r="AW134" s="93"/>
      <c r="AX134" s="93"/>
      <c r="AY134" s="93"/>
      <c r="AZ134" s="93"/>
      <c r="BA134" s="93"/>
      <c r="BB134" s="93"/>
      <c r="BC134" s="93"/>
      <c r="BD134" s="93"/>
      <c r="BE134" s="93"/>
      <c r="BF134" s="93"/>
      <c r="BG134" s="93"/>
      <c r="BH134" s="93"/>
      <c r="BI134" s="93"/>
      <c r="BJ134" s="93"/>
      <c r="BK134" s="93"/>
      <c r="BL134" s="93"/>
      <c r="BM134" s="93"/>
      <c r="BN134" s="93"/>
      <c r="BO134" s="93"/>
      <c r="BP134" s="93"/>
      <c r="BQ134" s="93"/>
      <c r="BR134" s="93"/>
      <c r="BS134" s="93"/>
      <c r="BT134" s="93"/>
      <c r="BU134" s="93"/>
      <c r="BV134" s="93"/>
      <c r="BW134" s="93"/>
      <c r="BX134" s="93"/>
      <c r="BY134" s="93"/>
      <c r="BZ134" s="93"/>
    </row>
    <row r="135" spans="1:78" s="79" customFormat="1" ht="22.15" customHeight="1" x14ac:dyDescent="0.2">
      <c r="A135" s="95"/>
      <c r="B135" s="59">
        <v>1</v>
      </c>
      <c r="C135" s="97"/>
      <c r="D135" s="98">
        <v>3</v>
      </c>
      <c r="E135" s="52" t="str">
        <f>IF(B18="","",B18)</f>
        <v>APCL_06</v>
      </c>
      <c r="F135" s="55">
        <f>IF(D18="","",D18)</f>
        <v>-1000</v>
      </c>
      <c r="G135" s="55" t="s">
        <v>34</v>
      </c>
      <c r="H135" s="52"/>
      <c r="I135" s="55"/>
      <c r="J135" s="55"/>
      <c r="K135" s="55"/>
      <c r="L135" s="55"/>
      <c r="M135" s="56"/>
      <c r="N135" s="56"/>
      <c r="O135" s="56"/>
      <c r="P135" s="56"/>
      <c r="Q135" s="56"/>
      <c r="R135" s="56"/>
      <c r="S135" s="12"/>
      <c r="T135" s="76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  <c r="AY135" s="78"/>
      <c r="AZ135" s="78"/>
      <c r="BA135" s="78"/>
      <c r="BB135" s="78"/>
      <c r="BC135" s="78"/>
      <c r="BD135" s="78"/>
      <c r="BE135" s="78"/>
      <c r="BF135" s="78"/>
      <c r="BG135" s="78"/>
      <c r="BH135" s="78"/>
      <c r="BI135" s="78"/>
      <c r="BJ135" s="78"/>
      <c r="BK135" s="78"/>
      <c r="BL135" s="78"/>
      <c r="BM135" s="78"/>
      <c r="BN135" s="78"/>
      <c r="BO135" s="78"/>
      <c r="BP135" s="78"/>
      <c r="BQ135" s="78"/>
      <c r="BR135" s="78"/>
      <c r="BS135" s="78"/>
      <c r="BT135" s="78"/>
      <c r="BU135" s="78"/>
      <c r="BV135" s="78"/>
      <c r="BW135" s="78"/>
      <c r="BX135" s="78"/>
      <c r="BY135" s="78"/>
      <c r="BZ135" s="78"/>
    </row>
    <row r="136" spans="1:78" s="94" customFormat="1" ht="22.15" customHeight="1" x14ac:dyDescent="0.2">
      <c r="A136" s="92"/>
      <c r="B136" s="169" t="s">
        <v>54</v>
      </c>
      <c r="C136" s="170"/>
      <c r="D136" s="170"/>
      <c r="E136" s="170"/>
      <c r="F136" s="170"/>
      <c r="G136" s="170"/>
      <c r="H136" s="170"/>
      <c r="I136" s="170"/>
      <c r="J136" s="170"/>
      <c r="K136" s="170"/>
      <c r="L136" s="170"/>
      <c r="M136" s="170"/>
      <c r="N136" s="170"/>
      <c r="O136" s="170"/>
      <c r="P136" s="170"/>
      <c r="Q136" s="170"/>
      <c r="R136" s="170"/>
      <c r="S136" s="170"/>
      <c r="T136" s="171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  <c r="AO136" s="93"/>
      <c r="AP136" s="93"/>
      <c r="AQ136" s="93"/>
      <c r="AR136" s="93"/>
      <c r="AS136" s="93"/>
      <c r="AT136" s="93"/>
      <c r="AU136" s="93"/>
      <c r="AV136" s="93"/>
      <c r="AW136" s="93"/>
      <c r="AX136" s="93"/>
      <c r="AY136" s="93"/>
      <c r="AZ136" s="93"/>
      <c r="BA136" s="93"/>
      <c r="BB136" s="93"/>
      <c r="BC136" s="93"/>
      <c r="BD136" s="93"/>
      <c r="BE136" s="93"/>
      <c r="BF136" s="93"/>
      <c r="BG136" s="93"/>
      <c r="BH136" s="93"/>
      <c r="BI136" s="93"/>
      <c r="BJ136" s="93"/>
      <c r="BK136" s="93"/>
      <c r="BL136" s="93"/>
      <c r="BM136" s="93"/>
      <c r="BN136" s="93"/>
      <c r="BO136" s="93"/>
      <c r="BP136" s="93"/>
      <c r="BQ136" s="93"/>
      <c r="BR136" s="93"/>
      <c r="BS136" s="93"/>
      <c r="BT136" s="93"/>
      <c r="BU136" s="93"/>
      <c r="BV136" s="93"/>
      <c r="BW136" s="93"/>
      <c r="BX136" s="93"/>
      <c r="BY136" s="93"/>
      <c r="BZ136" s="93"/>
    </row>
    <row r="137" spans="1:78" s="79" customFormat="1" ht="22.15" customHeight="1" x14ac:dyDescent="0.2">
      <c r="A137" s="95"/>
      <c r="B137" s="59">
        <v>1</v>
      </c>
      <c r="C137" s="97"/>
      <c r="D137" s="98">
        <v>3</v>
      </c>
      <c r="E137" s="52" t="str">
        <f>IF(B15="","",B15)</f>
        <v>APCL_03</v>
      </c>
      <c r="F137" s="55" t="str">
        <f>IF(D15="","",D15)</f>
        <v/>
      </c>
      <c r="G137" s="17"/>
      <c r="H137" s="52" t="s">
        <v>11</v>
      </c>
      <c r="I137" s="55">
        <v>60</v>
      </c>
      <c r="J137" s="55"/>
      <c r="K137" s="55"/>
      <c r="L137" s="55"/>
      <c r="M137" s="56"/>
      <c r="N137" s="56"/>
      <c r="O137" s="56"/>
      <c r="P137" s="56"/>
      <c r="Q137" s="56"/>
      <c r="R137" s="56"/>
      <c r="S137" s="12"/>
      <c r="T137" s="76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  <c r="AY137" s="78"/>
      <c r="AZ137" s="78"/>
      <c r="BA137" s="78"/>
      <c r="BB137" s="78"/>
      <c r="BC137" s="78"/>
      <c r="BD137" s="78"/>
      <c r="BE137" s="78"/>
      <c r="BF137" s="78"/>
      <c r="BG137" s="78"/>
      <c r="BH137" s="78"/>
      <c r="BI137" s="78"/>
      <c r="BJ137" s="78"/>
      <c r="BK137" s="78"/>
      <c r="BL137" s="78"/>
      <c r="BM137" s="78"/>
      <c r="BN137" s="78"/>
      <c r="BO137" s="78"/>
      <c r="BP137" s="78"/>
      <c r="BQ137" s="78"/>
      <c r="BR137" s="78"/>
      <c r="BS137" s="78"/>
      <c r="BT137" s="78"/>
      <c r="BU137" s="78"/>
      <c r="BV137" s="78"/>
      <c r="BW137" s="78"/>
      <c r="BX137" s="78"/>
      <c r="BY137" s="78"/>
      <c r="BZ137" s="78"/>
    </row>
    <row r="138" spans="1:78" s="94" customFormat="1" ht="22.15" customHeight="1" x14ac:dyDescent="0.2">
      <c r="A138" s="92"/>
      <c r="B138" s="169" t="s">
        <v>55</v>
      </c>
      <c r="C138" s="170"/>
      <c r="D138" s="170"/>
      <c r="E138" s="170"/>
      <c r="F138" s="170"/>
      <c r="G138" s="170"/>
      <c r="H138" s="170"/>
      <c r="I138" s="170"/>
      <c r="J138" s="170"/>
      <c r="K138" s="170"/>
      <c r="L138" s="170"/>
      <c r="M138" s="170"/>
      <c r="N138" s="170"/>
      <c r="O138" s="170"/>
      <c r="P138" s="170"/>
      <c r="Q138" s="170"/>
      <c r="R138" s="170"/>
      <c r="S138" s="170"/>
      <c r="T138" s="171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  <c r="AO138" s="93"/>
      <c r="AP138" s="93"/>
      <c r="AQ138" s="93"/>
      <c r="AR138" s="93"/>
      <c r="AS138" s="93"/>
      <c r="AT138" s="93"/>
      <c r="AU138" s="93"/>
      <c r="AV138" s="93"/>
      <c r="AW138" s="93"/>
      <c r="AX138" s="93"/>
      <c r="AY138" s="93"/>
      <c r="AZ138" s="93"/>
      <c r="BA138" s="93"/>
      <c r="BB138" s="93"/>
      <c r="BC138" s="93"/>
      <c r="BD138" s="93"/>
      <c r="BE138" s="93"/>
      <c r="BF138" s="93"/>
      <c r="BG138" s="93"/>
      <c r="BH138" s="93"/>
      <c r="BI138" s="93"/>
      <c r="BJ138" s="93"/>
      <c r="BK138" s="93"/>
      <c r="BL138" s="93"/>
      <c r="BM138" s="93"/>
      <c r="BN138" s="93"/>
      <c r="BO138" s="93"/>
      <c r="BP138" s="93"/>
      <c r="BQ138" s="93"/>
      <c r="BR138" s="93"/>
      <c r="BS138" s="93"/>
      <c r="BT138" s="93"/>
      <c r="BU138" s="93"/>
      <c r="BV138" s="93"/>
      <c r="BW138" s="93"/>
      <c r="BX138" s="93"/>
      <c r="BY138" s="93"/>
      <c r="BZ138" s="93"/>
    </row>
    <row r="139" spans="1:78" s="79" customFormat="1" ht="22.15" customHeight="1" x14ac:dyDescent="0.2">
      <c r="A139" s="95"/>
      <c r="B139" s="59">
        <v>1</v>
      </c>
      <c r="C139" s="97"/>
      <c r="D139" s="98">
        <v>3</v>
      </c>
      <c r="E139" s="52" t="str">
        <f>IF(B14="","",B14)</f>
        <v>APCL_02</v>
      </c>
      <c r="F139" s="55">
        <f>IF(D14="","",D14)</f>
        <v>5.000000000000001E-3</v>
      </c>
      <c r="G139" s="55" t="s">
        <v>56</v>
      </c>
      <c r="H139" s="52" t="s">
        <v>11</v>
      </c>
      <c r="I139" s="55">
        <v>60</v>
      </c>
      <c r="J139" s="55"/>
      <c r="K139" s="55"/>
      <c r="L139" s="55"/>
      <c r="M139" s="56"/>
      <c r="N139" s="56"/>
      <c r="O139" s="56"/>
      <c r="P139" s="56"/>
      <c r="Q139" s="56"/>
      <c r="R139" s="56"/>
      <c r="S139" s="12"/>
      <c r="T139" s="76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  <c r="AY139" s="78"/>
      <c r="AZ139" s="78"/>
      <c r="BA139" s="78"/>
      <c r="BB139" s="78"/>
      <c r="BC139" s="78"/>
      <c r="BD139" s="78"/>
      <c r="BE139" s="78"/>
      <c r="BF139" s="78"/>
      <c r="BG139" s="78"/>
      <c r="BH139" s="78"/>
      <c r="BI139" s="78"/>
      <c r="BJ139" s="78"/>
      <c r="BK139" s="78"/>
      <c r="BL139" s="78"/>
      <c r="BM139" s="78"/>
      <c r="BN139" s="78"/>
      <c r="BO139" s="78"/>
      <c r="BP139" s="78"/>
      <c r="BQ139" s="78"/>
      <c r="BR139" s="78"/>
      <c r="BS139" s="78"/>
      <c r="BT139" s="78"/>
      <c r="BU139" s="78"/>
      <c r="BV139" s="78"/>
      <c r="BW139" s="78"/>
      <c r="BX139" s="78"/>
      <c r="BY139" s="78"/>
      <c r="BZ139" s="78"/>
    </row>
    <row r="140" spans="1:78" s="79" customFormat="1" ht="22.15" customHeight="1" x14ac:dyDescent="0.2">
      <c r="A140" s="95"/>
      <c r="B140" s="59">
        <v>2</v>
      </c>
      <c r="C140" s="97"/>
      <c r="D140" s="98">
        <v>3</v>
      </c>
      <c r="E140" s="52" t="str">
        <f>IF(B15="","",B15)</f>
        <v>APCL_03</v>
      </c>
      <c r="F140" s="55" t="str">
        <f>IF(D15="","",D15)</f>
        <v/>
      </c>
      <c r="G140" s="55" t="s">
        <v>56</v>
      </c>
      <c r="H140" s="52" t="s">
        <v>11</v>
      </c>
      <c r="I140" s="55">
        <v>60</v>
      </c>
      <c r="J140" s="55"/>
      <c r="K140" s="55"/>
      <c r="L140" s="55"/>
      <c r="M140" s="56"/>
      <c r="N140" s="56"/>
      <c r="O140" s="56"/>
      <c r="P140" s="56"/>
      <c r="Q140" s="56"/>
      <c r="R140" s="56"/>
      <c r="S140" s="12"/>
      <c r="T140" s="76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  <c r="AY140" s="78"/>
      <c r="AZ140" s="78"/>
      <c r="BA140" s="78"/>
      <c r="BB140" s="78"/>
      <c r="BC140" s="78"/>
      <c r="BD140" s="78"/>
      <c r="BE140" s="78"/>
      <c r="BF140" s="78"/>
      <c r="BG140" s="78"/>
      <c r="BH140" s="78"/>
      <c r="BI140" s="78"/>
      <c r="BJ140" s="78"/>
      <c r="BK140" s="78"/>
      <c r="BL140" s="78"/>
      <c r="BM140" s="78"/>
      <c r="BN140" s="78"/>
      <c r="BO140" s="78"/>
      <c r="BP140" s="78"/>
      <c r="BQ140" s="78"/>
      <c r="BR140" s="78"/>
      <c r="BS140" s="78"/>
      <c r="BT140" s="78"/>
      <c r="BU140" s="78"/>
      <c r="BV140" s="78"/>
      <c r="BW140" s="78"/>
      <c r="BX140" s="78"/>
      <c r="BY140" s="78"/>
      <c r="BZ140" s="78"/>
    </row>
    <row r="141" spans="1:78" s="79" customFormat="1" ht="22.15" customHeight="1" x14ac:dyDescent="0.2">
      <c r="A141" s="95"/>
      <c r="B141" s="59">
        <v>3</v>
      </c>
      <c r="C141" s="97"/>
      <c r="D141" s="98">
        <v>3</v>
      </c>
      <c r="E141" s="52" t="str">
        <f>IF(B16="","",B16)</f>
        <v>APCL_04</v>
      </c>
      <c r="F141" s="55">
        <f>IF(D16="","",D16)</f>
        <v>9.5000000000000001E-2</v>
      </c>
      <c r="G141" s="55" t="s">
        <v>56</v>
      </c>
      <c r="H141" s="52" t="s">
        <v>11</v>
      </c>
      <c r="I141" s="55">
        <v>60</v>
      </c>
      <c r="J141" s="55"/>
      <c r="K141" s="55"/>
      <c r="L141" s="55"/>
      <c r="M141" s="56"/>
      <c r="N141" s="56"/>
      <c r="O141" s="56"/>
      <c r="P141" s="56"/>
      <c r="Q141" s="56"/>
      <c r="R141" s="56"/>
      <c r="S141" s="12"/>
      <c r="T141" s="76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  <c r="AY141" s="78"/>
      <c r="AZ141" s="78"/>
      <c r="BA141" s="78"/>
      <c r="BB141" s="78"/>
      <c r="BC141" s="78"/>
      <c r="BD141" s="78"/>
      <c r="BE141" s="78"/>
      <c r="BF141" s="78"/>
      <c r="BG141" s="78"/>
      <c r="BH141" s="78"/>
      <c r="BI141" s="78"/>
      <c r="BJ141" s="78"/>
      <c r="BK141" s="78"/>
      <c r="BL141" s="78"/>
      <c r="BM141" s="78"/>
      <c r="BN141" s="78"/>
      <c r="BO141" s="78"/>
      <c r="BP141" s="78"/>
      <c r="BQ141" s="78"/>
      <c r="BR141" s="78"/>
      <c r="BS141" s="78"/>
      <c r="BT141" s="78"/>
      <c r="BU141" s="78"/>
      <c r="BV141" s="78"/>
      <c r="BW141" s="78"/>
      <c r="BX141" s="78"/>
      <c r="BY141" s="78"/>
      <c r="BZ141" s="78"/>
    </row>
    <row r="142" spans="1:78" s="94" customFormat="1" ht="22.15" customHeight="1" x14ac:dyDescent="0.2">
      <c r="A142" s="92"/>
      <c r="B142" s="169" t="s">
        <v>90</v>
      </c>
      <c r="C142" s="170"/>
      <c r="D142" s="170"/>
      <c r="E142" s="170"/>
      <c r="F142" s="170"/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  <c r="Q142" s="170"/>
      <c r="R142" s="170"/>
      <c r="S142" s="170"/>
      <c r="T142" s="171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  <c r="AO142" s="93"/>
      <c r="AP142" s="93"/>
      <c r="AQ142" s="93"/>
      <c r="AR142" s="93"/>
      <c r="AS142" s="93"/>
      <c r="AT142" s="93"/>
      <c r="AU142" s="93"/>
      <c r="AV142" s="93"/>
      <c r="AW142" s="93"/>
      <c r="AX142" s="93"/>
      <c r="AY142" s="93"/>
      <c r="AZ142" s="93"/>
      <c r="BA142" s="93"/>
      <c r="BB142" s="93"/>
      <c r="BC142" s="93"/>
      <c r="BD142" s="93"/>
      <c r="BE142" s="93"/>
      <c r="BF142" s="93"/>
      <c r="BG142" s="93"/>
      <c r="BH142" s="93"/>
      <c r="BI142" s="93"/>
      <c r="BJ142" s="93"/>
      <c r="BK142" s="93"/>
      <c r="BL142" s="93"/>
      <c r="BM142" s="93"/>
      <c r="BN142" s="93"/>
      <c r="BO142" s="93"/>
      <c r="BP142" s="93"/>
      <c r="BQ142" s="93"/>
      <c r="BR142" s="93"/>
      <c r="BS142" s="93"/>
      <c r="BT142" s="93"/>
      <c r="BU142" s="93"/>
      <c r="BV142" s="93"/>
      <c r="BW142" s="93"/>
      <c r="BX142" s="93"/>
      <c r="BY142" s="93"/>
      <c r="BZ142" s="93"/>
    </row>
    <row r="143" spans="1:78" s="79" customFormat="1" ht="22.15" customHeight="1" x14ac:dyDescent="0.2">
      <c r="A143" s="95"/>
      <c r="B143" s="59">
        <v>1</v>
      </c>
      <c r="C143" s="97"/>
      <c r="D143" s="98"/>
      <c r="E143" s="52"/>
      <c r="F143" s="55"/>
      <c r="G143" s="55"/>
      <c r="H143" s="52"/>
      <c r="I143" s="55"/>
      <c r="J143" s="55"/>
      <c r="K143" s="55"/>
      <c r="L143" s="55"/>
      <c r="M143" s="56"/>
      <c r="N143" s="56"/>
      <c r="O143" s="56"/>
      <c r="P143" s="56"/>
      <c r="Q143" s="56"/>
      <c r="R143" s="56"/>
      <c r="S143" s="12"/>
      <c r="T143" s="76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  <c r="AY143" s="78"/>
      <c r="AZ143" s="78"/>
      <c r="BA143" s="78"/>
      <c r="BB143" s="78"/>
      <c r="BC143" s="78"/>
      <c r="BD143" s="78"/>
      <c r="BE143" s="78"/>
      <c r="BF143" s="78"/>
      <c r="BG143" s="78"/>
      <c r="BH143" s="78"/>
      <c r="BI143" s="78"/>
      <c r="BJ143" s="78"/>
      <c r="BK143" s="78"/>
      <c r="BL143" s="78"/>
      <c r="BM143" s="78"/>
      <c r="BN143" s="78"/>
      <c r="BO143" s="78"/>
      <c r="BP143" s="78"/>
      <c r="BQ143" s="78"/>
      <c r="BR143" s="78"/>
      <c r="BS143" s="78"/>
      <c r="BT143" s="78"/>
      <c r="BU143" s="78"/>
      <c r="BV143" s="78"/>
      <c r="BW143" s="78"/>
      <c r="BX143" s="78"/>
      <c r="BY143" s="78"/>
      <c r="BZ143" s="78"/>
    </row>
    <row r="144" spans="1:78" s="94" customFormat="1" ht="22.15" customHeight="1" x14ac:dyDescent="0.2">
      <c r="A144" s="92"/>
      <c r="B144" s="169" t="s">
        <v>91</v>
      </c>
      <c r="C144" s="170"/>
      <c r="D144" s="170"/>
      <c r="E144" s="170"/>
      <c r="F144" s="170"/>
      <c r="G144" s="170"/>
      <c r="H144" s="170"/>
      <c r="I144" s="170"/>
      <c r="J144" s="170"/>
      <c r="K144" s="170"/>
      <c r="L144" s="170"/>
      <c r="M144" s="170"/>
      <c r="N144" s="170"/>
      <c r="O144" s="170"/>
      <c r="P144" s="170"/>
      <c r="Q144" s="170"/>
      <c r="R144" s="170"/>
      <c r="S144" s="170"/>
      <c r="T144" s="171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  <c r="AO144" s="93"/>
      <c r="AP144" s="93"/>
      <c r="AQ144" s="93"/>
      <c r="AR144" s="93"/>
      <c r="AS144" s="93"/>
      <c r="AT144" s="93"/>
      <c r="AU144" s="93"/>
      <c r="AV144" s="93"/>
      <c r="AW144" s="93"/>
      <c r="AX144" s="93"/>
      <c r="AY144" s="93"/>
      <c r="AZ144" s="93"/>
      <c r="BA144" s="93"/>
      <c r="BB144" s="93"/>
      <c r="BC144" s="93"/>
      <c r="BD144" s="93"/>
      <c r="BE144" s="93"/>
      <c r="BF144" s="93"/>
      <c r="BG144" s="93"/>
      <c r="BH144" s="93"/>
      <c r="BI144" s="93"/>
      <c r="BJ144" s="93"/>
      <c r="BK144" s="93"/>
      <c r="BL144" s="93"/>
      <c r="BM144" s="93"/>
      <c r="BN144" s="93"/>
      <c r="BO144" s="93"/>
      <c r="BP144" s="93"/>
      <c r="BQ144" s="93"/>
      <c r="BR144" s="93"/>
      <c r="BS144" s="93"/>
      <c r="BT144" s="93"/>
      <c r="BU144" s="93"/>
      <c r="BV144" s="93"/>
      <c r="BW144" s="93"/>
      <c r="BX144" s="93"/>
      <c r="BY144" s="93"/>
      <c r="BZ144" s="93"/>
    </row>
    <row r="145" spans="1:78" s="79" customFormat="1" ht="22.15" customHeight="1" x14ac:dyDescent="0.2">
      <c r="A145" s="95"/>
      <c r="B145" s="59">
        <v>1</v>
      </c>
      <c r="C145" s="97"/>
      <c r="D145" s="98"/>
      <c r="E145" s="52"/>
      <c r="F145" s="55"/>
      <c r="G145" s="55"/>
      <c r="H145" s="52"/>
      <c r="I145" s="55"/>
      <c r="J145" s="55"/>
      <c r="K145" s="55"/>
      <c r="L145" s="55"/>
      <c r="M145" s="56"/>
      <c r="N145" s="56"/>
      <c r="O145" s="56"/>
      <c r="P145" s="56"/>
      <c r="Q145" s="56"/>
      <c r="R145" s="56"/>
      <c r="S145" s="12"/>
      <c r="T145" s="76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  <c r="AY145" s="78"/>
      <c r="AZ145" s="78"/>
      <c r="BA145" s="78"/>
      <c r="BB145" s="78"/>
      <c r="BC145" s="78"/>
      <c r="BD145" s="78"/>
      <c r="BE145" s="78"/>
      <c r="BF145" s="78"/>
      <c r="BG145" s="78"/>
      <c r="BH145" s="78"/>
      <c r="BI145" s="78"/>
      <c r="BJ145" s="78"/>
      <c r="BK145" s="78"/>
      <c r="BL145" s="78"/>
      <c r="BM145" s="78"/>
      <c r="BN145" s="78"/>
      <c r="BO145" s="78"/>
      <c r="BP145" s="78"/>
      <c r="BQ145" s="78"/>
      <c r="BR145" s="78"/>
      <c r="BS145" s="78"/>
      <c r="BT145" s="78"/>
      <c r="BU145" s="78"/>
      <c r="BV145" s="78"/>
      <c r="BW145" s="78"/>
      <c r="BX145" s="78"/>
      <c r="BY145" s="78"/>
      <c r="BZ145" s="78"/>
    </row>
    <row r="146" spans="1:78" s="94" customFormat="1" ht="22.15" customHeight="1" x14ac:dyDescent="0.2">
      <c r="A146" s="92"/>
      <c r="B146" s="169" t="s">
        <v>57</v>
      </c>
      <c r="C146" s="170"/>
      <c r="D146" s="170"/>
      <c r="E146" s="170"/>
      <c r="F146" s="170"/>
      <c r="G146" s="170"/>
      <c r="H146" s="170"/>
      <c r="I146" s="170"/>
      <c r="J146" s="170"/>
      <c r="K146" s="170"/>
      <c r="L146" s="170"/>
      <c r="M146" s="170"/>
      <c r="N146" s="170"/>
      <c r="O146" s="170"/>
      <c r="P146" s="170"/>
      <c r="Q146" s="170"/>
      <c r="R146" s="170"/>
      <c r="S146" s="170"/>
      <c r="T146" s="171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  <c r="AO146" s="93"/>
      <c r="AP146" s="93"/>
      <c r="AQ146" s="93"/>
      <c r="AR146" s="93"/>
      <c r="AS146" s="93"/>
      <c r="AT146" s="93"/>
      <c r="AU146" s="93"/>
      <c r="AV146" s="93"/>
      <c r="AW146" s="93"/>
      <c r="AX146" s="93"/>
      <c r="AY146" s="93"/>
      <c r="AZ146" s="93"/>
      <c r="BA146" s="93"/>
      <c r="BB146" s="93"/>
      <c r="BC146" s="93"/>
      <c r="BD146" s="93"/>
      <c r="BE146" s="93"/>
      <c r="BF146" s="93"/>
      <c r="BG146" s="93"/>
      <c r="BH146" s="93"/>
      <c r="BI146" s="93"/>
      <c r="BJ146" s="93"/>
      <c r="BK146" s="93"/>
      <c r="BL146" s="93"/>
      <c r="BM146" s="93"/>
      <c r="BN146" s="93"/>
      <c r="BO146" s="93"/>
      <c r="BP146" s="93"/>
      <c r="BQ146" s="93"/>
      <c r="BR146" s="93"/>
      <c r="BS146" s="93"/>
      <c r="BT146" s="93"/>
      <c r="BU146" s="93"/>
      <c r="BV146" s="93"/>
      <c r="BW146" s="93"/>
      <c r="BX146" s="93"/>
      <c r="BY146" s="93"/>
      <c r="BZ146" s="93"/>
    </row>
    <row r="147" spans="1:78" s="79" customFormat="1" ht="22.15" customHeight="1" x14ac:dyDescent="0.2">
      <c r="A147" s="95"/>
      <c r="B147" s="59">
        <v>1</v>
      </c>
      <c r="C147" s="97"/>
      <c r="D147" s="98">
        <v>1</v>
      </c>
      <c r="E147" s="52" t="str">
        <f>IF(B14="","",B14)</f>
        <v>APCL_02</v>
      </c>
      <c r="F147" s="55">
        <f>IF(D14="","",D14)</f>
        <v>5.000000000000001E-3</v>
      </c>
      <c r="G147" s="55" t="s">
        <v>56</v>
      </c>
      <c r="H147" s="52" t="s">
        <v>11</v>
      </c>
      <c r="I147" s="55">
        <v>60</v>
      </c>
      <c r="J147" s="55"/>
      <c r="K147" s="55"/>
      <c r="L147" s="55"/>
      <c r="M147" s="56"/>
      <c r="N147" s="56"/>
      <c r="O147" s="56"/>
      <c r="P147" s="56"/>
      <c r="Q147" s="56"/>
      <c r="R147" s="56"/>
      <c r="S147" s="12"/>
      <c r="T147" s="76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  <c r="AY147" s="78"/>
      <c r="AZ147" s="78"/>
      <c r="BA147" s="78"/>
      <c r="BB147" s="78"/>
      <c r="BC147" s="78"/>
      <c r="BD147" s="78"/>
      <c r="BE147" s="78"/>
      <c r="BF147" s="78"/>
      <c r="BG147" s="78"/>
      <c r="BH147" s="78"/>
      <c r="BI147" s="78"/>
      <c r="BJ147" s="78"/>
      <c r="BK147" s="78"/>
      <c r="BL147" s="78"/>
      <c r="BM147" s="78"/>
      <c r="BN147" s="78"/>
      <c r="BO147" s="78"/>
      <c r="BP147" s="78"/>
      <c r="BQ147" s="78"/>
      <c r="BR147" s="78"/>
      <c r="BS147" s="78"/>
      <c r="BT147" s="78"/>
      <c r="BU147" s="78"/>
      <c r="BV147" s="78"/>
      <c r="BW147" s="78"/>
      <c r="BX147" s="78"/>
      <c r="BY147" s="78"/>
      <c r="BZ147" s="78"/>
    </row>
    <row r="148" spans="1:78" s="79" customFormat="1" ht="22.15" customHeight="1" x14ac:dyDescent="0.2">
      <c r="A148" s="95"/>
      <c r="B148" s="59">
        <v>2</v>
      </c>
      <c r="C148" s="97"/>
      <c r="D148" s="98">
        <v>1</v>
      </c>
      <c r="E148" s="52" t="str">
        <f>IF(B15="","",B15)</f>
        <v>APCL_03</v>
      </c>
      <c r="F148" s="55" t="str">
        <f>IF(D15="","",D15)</f>
        <v/>
      </c>
      <c r="G148" s="55" t="s">
        <v>56</v>
      </c>
      <c r="H148" s="52" t="s">
        <v>11</v>
      </c>
      <c r="I148" s="55">
        <v>60</v>
      </c>
      <c r="J148" s="55"/>
      <c r="K148" s="55"/>
      <c r="L148" s="55"/>
      <c r="M148" s="56"/>
      <c r="N148" s="56"/>
      <c r="O148" s="56"/>
      <c r="P148" s="56"/>
      <c r="Q148" s="56"/>
      <c r="R148" s="56"/>
      <c r="S148" s="12"/>
      <c r="T148" s="76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  <c r="AY148" s="78"/>
      <c r="AZ148" s="78"/>
      <c r="BA148" s="78"/>
      <c r="BB148" s="78"/>
      <c r="BC148" s="78"/>
      <c r="BD148" s="78"/>
      <c r="BE148" s="78"/>
      <c r="BF148" s="78"/>
      <c r="BG148" s="78"/>
      <c r="BH148" s="78"/>
      <c r="BI148" s="78"/>
      <c r="BJ148" s="78"/>
      <c r="BK148" s="78"/>
      <c r="BL148" s="78"/>
      <c r="BM148" s="78"/>
      <c r="BN148" s="78"/>
      <c r="BO148" s="78"/>
      <c r="BP148" s="78"/>
      <c r="BQ148" s="78"/>
      <c r="BR148" s="78"/>
      <c r="BS148" s="78"/>
      <c r="BT148" s="78"/>
      <c r="BU148" s="78"/>
      <c r="BV148" s="78"/>
      <c r="BW148" s="78"/>
      <c r="BX148" s="78"/>
      <c r="BY148" s="78"/>
      <c r="BZ148" s="78"/>
    </row>
    <row r="149" spans="1:78" s="79" customFormat="1" ht="22.15" customHeight="1" x14ac:dyDescent="0.2">
      <c r="A149" s="95"/>
      <c r="B149" s="59">
        <v>3</v>
      </c>
      <c r="C149" s="97"/>
      <c r="D149" s="98">
        <v>1</v>
      </c>
      <c r="E149" s="52" t="str">
        <f>IF(B16="","",B16)</f>
        <v>APCL_04</v>
      </c>
      <c r="F149" s="55">
        <f>IF(D16="","",D16)</f>
        <v>9.5000000000000001E-2</v>
      </c>
      <c r="G149" s="55" t="s">
        <v>56</v>
      </c>
      <c r="H149" s="52" t="s">
        <v>11</v>
      </c>
      <c r="I149" s="55">
        <v>60</v>
      </c>
      <c r="J149" s="55"/>
      <c r="K149" s="55"/>
      <c r="L149" s="55"/>
      <c r="M149" s="56"/>
      <c r="N149" s="56"/>
      <c r="O149" s="56"/>
      <c r="P149" s="56"/>
      <c r="Q149" s="56"/>
      <c r="R149" s="56"/>
      <c r="S149" s="12"/>
      <c r="T149" s="76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  <c r="AY149" s="78"/>
      <c r="AZ149" s="78"/>
      <c r="BA149" s="78"/>
      <c r="BB149" s="78"/>
      <c r="BC149" s="78"/>
      <c r="BD149" s="78"/>
      <c r="BE149" s="78"/>
      <c r="BF149" s="78"/>
      <c r="BG149" s="78"/>
      <c r="BH149" s="78"/>
      <c r="BI149" s="78"/>
      <c r="BJ149" s="78"/>
      <c r="BK149" s="78"/>
      <c r="BL149" s="78"/>
      <c r="BM149" s="78"/>
      <c r="BN149" s="78"/>
      <c r="BO149" s="78"/>
      <c r="BP149" s="78"/>
      <c r="BQ149" s="78"/>
      <c r="BR149" s="78"/>
      <c r="BS149" s="78"/>
      <c r="BT149" s="78"/>
      <c r="BU149" s="78"/>
      <c r="BV149" s="78"/>
      <c r="BW149" s="78"/>
      <c r="BX149" s="78"/>
      <c r="BY149" s="78"/>
      <c r="BZ149" s="78"/>
    </row>
    <row r="150" spans="1:78" s="94" customFormat="1" ht="22.15" customHeight="1" x14ac:dyDescent="0.2">
      <c r="A150" s="92"/>
      <c r="B150" s="169" t="s">
        <v>92</v>
      </c>
      <c r="C150" s="170"/>
      <c r="D150" s="170"/>
      <c r="E150" s="170"/>
      <c r="F150" s="170"/>
      <c r="G150" s="170"/>
      <c r="H150" s="170"/>
      <c r="I150" s="170"/>
      <c r="J150" s="170"/>
      <c r="K150" s="170"/>
      <c r="L150" s="170"/>
      <c r="M150" s="170"/>
      <c r="N150" s="170"/>
      <c r="O150" s="170"/>
      <c r="P150" s="170"/>
      <c r="Q150" s="170"/>
      <c r="R150" s="170"/>
      <c r="S150" s="170"/>
      <c r="T150" s="171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  <c r="AO150" s="93"/>
      <c r="AP150" s="93"/>
      <c r="AQ150" s="93"/>
      <c r="AR150" s="93"/>
      <c r="AS150" s="93"/>
      <c r="AT150" s="93"/>
      <c r="AU150" s="93"/>
      <c r="AV150" s="93"/>
      <c r="AW150" s="93"/>
      <c r="AX150" s="93"/>
      <c r="AY150" s="93"/>
      <c r="AZ150" s="93"/>
      <c r="BA150" s="93"/>
      <c r="BB150" s="93"/>
      <c r="BC150" s="93"/>
      <c r="BD150" s="93"/>
      <c r="BE150" s="93"/>
      <c r="BF150" s="93"/>
      <c r="BG150" s="93"/>
      <c r="BH150" s="93"/>
      <c r="BI150" s="93"/>
      <c r="BJ150" s="93"/>
      <c r="BK150" s="93"/>
      <c r="BL150" s="93"/>
      <c r="BM150" s="93"/>
      <c r="BN150" s="93"/>
      <c r="BO150" s="93"/>
      <c r="BP150" s="93"/>
      <c r="BQ150" s="93"/>
      <c r="BR150" s="93"/>
      <c r="BS150" s="93"/>
      <c r="BT150" s="93"/>
      <c r="BU150" s="93"/>
      <c r="BV150" s="93"/>
      <c r="BW150" s="93"/>
      <c r="BX150" s="93"/>
      <c r="BY150" s="93"/>
      <c r="BZ150" s="93"/>
    </row>
    <row r="151" spans="1:78" s="79" customFormat="1" ht="22.15" customHeight="1" x14ac:dyDescent="0.2">
      <c r="A151" s="95"/>
      <c r="B151" s="59">
        <v>1</v>
      </c>
      <c r="C151" s="97"/>
      <c r="D151" s="98"/>
      <c r="E151" s="52"/>
      <c r="F151" s="55"/>
      <c r="G151" s="55"/>
      <c r="H151" s="52"/>
      <c r="I151" s="55"/>
      <c r="J151" s="55"/>
      <c r="K151" s="55"/>
      <c r="L151" s="55"/>
      <c r="M151" s="56"/>
      <c r="N151" s="56"/>
      <c r="O151" s="56"/>
      <c r="P151" s="56"/>
      <c r="Q151" s="56"/>
      <c r="R151" s="56"/>
      <c r="S151" s="12"/>
      <c r="T151" s="76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  <c r="AY151" s="78"/>
      <c r="AZ151" s="78"/>
      <c r="BA151" s="78"/>
      <c r="BB151" s="78"/>
      <c r="BC151" s="78"/>
      <c r="BD151" s="78"/>
      <c r="BE151" s="78"/>
      <c r="BF151" s="78"/>
      <c r="BG151" s="78"/>
      <c r="BH151" s="78"/>
      <c r="BI151" s="78"/>
      <c r="BJ151" s="78"/>
      <c r="BK151" s="78"/>
      <c r="BL151" s="78"/>
      <c r="BM151" s="78"/>
      <c r="BN151" s="78"/>
      <c r="BO151" s="78"/>
      <c r="BP151" s="78"/>
      <c r="BQ151" s="78"/>
      <c r="BR151" s="78"/>
      <c r="BS151" s="78"/>
      <c r="BT151" s="78"/>
      <c r="BU151" s="78"/>
      <c r="BV151" s="78"/>
      <c r="BW151" s="78"/>
      <c r="BX151" s="78"/>
      <c r="BY151" s="78"/>
      <c r="BZ151" s="78"/>
    </row>
    <row r="152" spans="1:78" s="94" customFormat="1" ht="22.15" customHeight="1" x14ac:dyDescent="0.2">
      <c r="A152" s="92"/>
      <c r="B152" s="169" t="s">
        <v>58</v>
      </c>
      <c r="C152" s="170"/>
      <c r="D152" s="170"/>
      <c r="E152" s="170"/>
      <c r="F152" s="170"/>
      <c r="G152" s="170"/>
      <c r="H152" s="170"/>
      <c r="I152" s="170"/>
      <c r="J152" s="170"/>
      <c r="K152" s="170"/>
      <c r="L152" s="170"/>
      <c r="M152" s="170"/>
      <c r="N152" s="170"/>
      <c r="O152" s="170"/>
      <c r="P152" s="170"/>
      <c r="Q152" s="170"/>
      <c r="R152" s="170"/>
      <c r="S152" s="170"/>
      <c r="T152" s="171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  <c r="AR152" s="93"/>
      <c r="AS152" s="93"/>
      <c r="AT152" s="93"/>
      <c r="AU152" s="93"/>
      <c r="AV152" s="93"/>
      <c r="AW152" s="93"/>
      <c r="AX152" s="93"/>
      <c r="AY152" s="93"/>
      <c r="AZ152" s="93"/>
      <c r="BA152" s="93"/>
      <c r="BB152" s="93"/>
      <c r="BC152" s="93"/>
      <c r="BD152" s="93"/>
      <c r="BE152" s="93"/>
      <c r="BF152" s="93"/>
      <c r="BG152" s="93"/>
      <c r="BH152" s="93"/>
      <c r="BI152" s="93"/>
      <c r="BJ152" s="93"/>
      <c r="BK152" s="93"/>
      <c r="BL152" s="93"/>
      <c r="BM152" s="93"/>
      <c r="BN152" s="93"/>
      <c r="BO152" s="93"/>
      <c r="BP152" s="93"/>
      <c r="BQ152" s="93"/>
      <c r="BR152" s="93"/>
      <c r="BS152" s="93"/>
      <c r="BT152" s="93"/>
      <c r="BU152" s="93"/>
      <c r="BV152" s="93"/>
      <c r="BW152" s="93"/>
      <c r="BX152" s="93"/>
      <c r="BY152" s="93"/>
      <c r="BZ152" s="93"/>
    </row>
    <row r="153" spans="1:78" s="79" customFormat="1" ht="22.15" customHeight="1" x14ac:dyDescent="0.2">
      <c r="A153" s="95"/>
      <c r="B153" s="59">
        <v>1</v>
      </c>
      <c r="C153" s="97"/>
      <c r="D153" s="98">
        <v>1</v>
      </c>
      <c r="E153" s="52" t="str">
        <f>IF(B15="","",B15)</f>
        <v>APCL_03</v>
      </c>
      <c r="F153" s="55" t="str">
        <f>IF(D15="","",D15)</f>
        <v/>
      </c>
      <c r="G153" s="17"/>
      <c r="H153" s="52" t="s">
        <v>11</v>
      </c>
      <c r="I153" s="55">
        <v>60</v>
      </c>
      <c r="J153" s="55"/>
      <c r="K153" s="55"/>
      <c r="L153" s="55"/>
      <c r="M153" s="56"/>
      <c r="N153" s="56"/>
      <c r="O153" s="56"/>
      <c r="P153" s="56"/>
      <c r="Q153" s="56"/>
      <c r="R153" s="56"/>
      <c r="S153" s="12"/>
      <c r="T153" s="76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  <c r="AY153" s="78"/>
      <c r="AZ153" s="78"/>
      <c r="BA153" s="78"/>
      <c r="BB153" s="78"/>
      <c r="BC153" s="78"/>
      <c r="BD153" s="78"/>
      <c r="BE153" s="78"/>
      <c r="BF153" s="78"/>
      <c r="BG153" s="78"/>
      <c r="BH153" s="78"/>
      <c r="BI153" s="78"/>
      <c r="BJ153" s="78"/>
      <c r="BK153" s="78"/>
      <c r="BL153" s="78"/>
      <c r="BM153" s="78"/>
      <c r="BN153" s="78"/>
      <c r="BO153" s="78"/>
      <c r="BP153" s="78"/>
      <c r="BQ153" s="78"/>
      <c r="BR153" s="78"/>
      <c r="BS153" s="78"/>
      <c r="BT153" s="78"/>
      <c r="BU153" s="78"/>
      <c r="BV153" s="78"/>
      <c r="BW153" s="78"/>
      <c r="BX153" s="78"/>
      <c r="BY153" s="78"/>
      <c r="BZ153" s="78"/>
    </row>
    <row r="154" spans="1:78" s="94" customFormat="1" ht="22.15" customHeight="1" x14ac:dyDescent="0.2">
      <c r="A154" s="92"/>
      <c r="B154" s="169" t="s">
        <v>59</v>
      </c>
      <c r="C154" s="170"/>
      <c r="D154" s="170"/>
      <c r="E154" s="170"/>
      <c r="F154" s="170"/>
      <c r="G154" s="170"/>
      <c r="H154" s="170"/>
      <c r="I154" s="170"/>
      <c r="J154" s="170"/>
      <c r="K154" s="170"/>
      <c r="L154" s="170"/>
      <c r="M154" s="170"/>
      <c r="N154" s="170"/>
      <c r="O154" s="170"/>
      <c r="P154" s="170"/>
      <c r="Q154" s="170"/>
      <c r="R154" s="170"/>
      <c r="S154" s="170"/>
      <c r="T154" s="171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  <c r="AO154" s="93"/>
      <c r="AP154" s="93"/>
      <c r="AQ154" s="93"/>
      <c r="AR154" s="93"/>
      <c r="AS154" s="93"/>
      <c r="AT154" s="93"/>
      <c r="AU154" s="93"/>
      <c r="AV154" s="93"/>
      <c r="AW154" s="93"/>
      <c r="AX154" s="93"/>
      <c r="AY154" s="93"/>
      <c r="AZ154" s="93"/>
      <c r="BA154" s="93"/>
      <c r="BB154" s="93"/>
      <c r="BC154" s="93"/>
      <c r="BD154" s="93"/>
      <c r="BE154" s="93"/>
      <c r="BF154" s="93"/>
      <c r="BG154" s="93"/>
      <c r="BH154" s="93"/>
      <c r="BI154" s="93"/>
      <c r="BJ154" s="93"/>
      <c r="BK154" s="93"/>
      <c r="BL154" s="93"/>
      <c r="BM154" s="93"/>
      <c r="BN154" s="93"/>
      <c r="BO154" s="93"/>
      <c r="BP154" s="93"/>
      <c r="BQ154" s="93"/>
      <c r="BR154" s="93"/>
      <c r="BS154" s="93"/>
      <c r="BT154" s="93"/>
      <c r="BU154" s="93"/>
      <c r="BV154" s="93"/>
      <c r="BW154" s="93"/>
      <c r="BX154" s="93"/>
      <c r="BY154" s="93"/>
      <c r="BZ154" s="93"/>
    </row>
    <row r="155" spans="1:78" s="79" customFormat="1" ht="22.15" customHeight="1" x14ac:dyDescent="0.2">
      <c r="A155" s="95"/>
      <c r="B155" s="59">
        <v>1</v>
      </c>
      <c r="C155" s="97"/>
      <c r="D155" s="98">
        <v>1</v>
      </c>
      <c r="E155" s="52" t="str">
        <f>IF(B15="","",B15)</f>
        <v>APCL_03</v>
      </c>
      <c r="F155" s="55" t="str">
        <f>IF(D15="","",D15)</f>
        <v/>
      </c>
      <c r="G155" s="17"/>
      <c r="H155" s="52" t="s">
        <v>11</v>
      </c>
      <c r="I155" s="55">
        <v>60</v>
      </c>
      <c r="J155" s="55"/>
      <c r="K155" s="55"/>
      <c r="L155" s="55"/>
      <c r="M155" s="56"/>
      <c r="N155" s="56"/>
      <c r="O155" s="56"/>
      <c r="P155" s="56"/>
      <c r="Q155" s="56"/>
      <c r="R155" s="56"/>
      <c r="S155" s="12"/>
      <c r="T155" s="76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  <c r="AY155" s="78"/>
      <c r="AZ155" s="78"/>
      <c r="BA155" s="78"/>
      <c r="BB155" s="78"/>
      <c r="BC155" s="78"/>
      <c r="BD155" s="78"/>
      <c r="BE155" s="78"/>
      <c r="BF155" s="78"/>
      <c r="BG155" s="78"/>
      <c r="BH155" s="78"/>
      <c r="BI155" s="78"/>
      <c r="BJ155" s="78"/>
      <c r="BK155" s="78"/>
      <c r="BL155" s="78"/>
      <c r="BM155" s="78"/>
      <c r="BN155" s="78"/>
      <c r="BO155" s="78"/>
      <c r="BP155" s="78"/>
      <c r="BQ155" s="78"/>
      <c r="BR155" s="78"/>
      <c r="BS155" s="78"/>
      <c r="BT155" s="78"/>
      <c r="BU155" s="78"/>
      <c r="BV155" s="78"/>
      <c r="BW155" s="78"/>
      <c r="BX155" s="78"/>
      <c r="BY155" s="78"/>
      <c r="BZ155" s="78"/>
    </row>
    <row r="156" spans="1:78" s="94" customFormat="1" ht="22.15" customHeight="1" x14ac:dyDescent="0.2">
      <c r="A156" s="92"/>
      <c r="B156" s="169" t="s">
        <v>60</v>
      </c>
      <c r="C156" s="170"/>
      <c r="D156" s="170"/>
      <c r="E156" s="170"/>
      <c r="F156" s="170"/>
      <c r="G156" s="170"/>
      <c r="H156" s="170"/>
      <c r="I156" s="170"/>
      <c r="J156" s="170"/>
      <c r="K156" s="170"/>
      <c r="L156" s="170"/>
      <c r="M156" s="170"/>
      <c r="N156" s="170"/>
      <c r="O156" s="170"/>
      <c r="P156" s="170"/>
      <c r="Q156" s="170"/>
      <c r="R156" s="170"/>
      <c r="S156" s="170"/>
      <c r="T156" s="171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  <c r="AR156" s="93"/>
      <c r="AS156" s="93"/>
      <c r="AT156" s="93"/>
      <c r="AU156" s="93"/>
      <c r="AV156" s="93"/>
      <c r="AW156" s="93"/>
      <c r="AX156" s="93"/>
      <c r="AY156" s="93"/>
      <c r="AZ156" s="93"/>
      <c r="BA156" s="93"/>
      <c r="BB156" s="93"/>
      <c r="BC156" s="93"/>
      <c r="BD156" s="93"/>
      <c r="BE156" s="93"/>
      <c r="BF156" s="93"/>
      <c r="BG156" s="93"/>
      <c r="BH156" s="93"/>
      <c r="BI156" s="93"/>
      <c r="BJ156" s="93"/>
      <c r="BK156" s="93"/>
      <c r="BL156" s="93"/>
      <c r="BM156" s="93"/>
      <c r="BN156" s="93"/>
      <c r="BO156" s="93"/>
      <c r="BP156" s="93"/>
      <c r="BQ156" s="93"/>
      <c r="BR156" s="93"/>
      <c r="BS156" s="93"/>
      <c r="BT156" s="93"/>
      <c r="BU156" s="93"/>
      <c r="BV156" s="93"/>
      <c r="BW156" s="93"/>
      <c r="BX156" s="93"/>
      <c r="BY156" s="93"/>
      <c r="BZ156" s="93"/>
    </row>
    <row r="157" spans="1:78" s="79" customFormat="1" ht="22.15" customHeight="1" x14ac:dyDescent="0.2">
      <c r="A157" s="95"/>
      <c r="B157" s="59">
        <v>1</v>
      </c>
      <c r="C157" s="97"/>
      <c r="D157" s="98"/>
      <c r="E157" s="52"/>
      <c r="F157" s="55"/>
      <c r="G157" s="55"/>
      <c r="H157" s="52"/>
      <c r="I157" s="55"/>
      <c r="J157" s="55">
        <v>1</v>
      </c>
      <c r="K157" s="55" t="str">
        <f>IF(B25="","",B25)</f>
        <v>FCAPL_02</v>
      </c>
      <c r="L157" s="55">
        <f>IF(D25="","",D25)</f>
        <v>5.000000000000001E-3</v>
      </c>
      <c r="M157" s="56"/>
      <c r="N157" s="56"/>
      <c r="O157" s="56"/>
      <c r="P157" s="56"/>
      <c r="Q157" s="56"/>
      <c r="R157" s="56"/>
      <c r="S157" s="12"/>
      <c r="T157" s="76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  <c r="AY157" s="78"/>
      <c r="AZ157" s="78"/>
      <c r="BA157" s="78"/>
      <c r="BB157" s="78"/>
      <c r="BC157" s="78"/>
      <c r="BD157" s="78"/>
      <c r="BE157" s="78"/>
      <c r="BF157" s="78"/>
      <c r="BG157" s="78"/>
      <c r="BH157" s="78"/>
      <c r="BI157" s="78"/>
      <c r="BJ157" s="78"/>
      <c r="BK157" s="78"/>
      <c r="BL157" s="78"/>
      <c r="BM157" s="78"/>
      <c r="BN157" s="78"/>
      <c r="BO157" s="78"/>
      <c r="BP157" s="78"/>
      <c r="BQ157" s="78"/>
      <c r="BR157" s="78"/>
      <c r="BS157" s="78"/>
      <c r="BT157" s="78"/>
      <c r="BU157" s="78"/>
      <c r="BV157" s="78"/>
      <c r="BW157" s="78"/>
      <c r="BX157" s="78"/>
      <c r="BY157" s="78"/>
      <c r="BZ157" s="78"/>
    </row>
    <row r="158" spans="1:78" s="79" customFormat="1" ht="22.15" customHeight="1" x14ac:dyDescent="0.2">
      <c r="A158" s="95"/>
      <c r="B158" s="59">
        <v>2</v>
      </c>
      <c r="C158" s="97"/>
      <c r="D158" s="98"/>
      <c r="E158" s="52"/>
      <c r="F158" s="55"/>
      <c r="G158" s="55"/>
      <c r="H158" s="52"/>
      <c r="I158" s="55"/>
      <c r="J158" s="55">
        <v>1</v>
      </c>
      <c r="K158" s="52" t="str">
        <f>IF(B26="","",B26)</f>
        <v>FCAPL_03</v>
      </c>
      <c r="L158" s="55" t="str">
        <f>IF(D26="","",D26)</f>
        <v/>
      </c>
      <c r="M158" s="56"/>
      <c r="N158" s="56"/>
      <c r="O158" s="56"/>
      <c r="P158" s="56"/>
      <c r="Q158" s="56"/>
      <c r="R158" s="56"/>
      <c r="S158" s="12"/>
      <c r="T158" s="76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  <c r="AY158" s="78"/>
      <c r="AZ158" s="78"/>
      <c r="BA158" s="78"/>
      <c r="BB158" s="78"/>
      <c r="BC158" s="78"/>
      <c r="BD158" s="78"/>
      <c r="BE158" s="78"/>
      <c r="BF158" s="78"/>
      <c r="BG158" s="78"/>
      <c r="BH158" s="78"/>
      <c r="BI158" s="78"/>
      <c r="BJ158" s="78"/>
      <c r="BK158" s="78"/>
      <c r="BL158" s="78"/>
      <c r="BM158" s="78"/>
      <c r="BN158" s="78"/>
      <c r="BO158" s="78"/>
      <c r="BP158" s="78"/>
      <c r="BQ158" s="78"/>
      <c r="BR158" s="78"/>
      <c r="BS158" s="78"/>
      <c r="BT158" s="78"/>
      <c r="BU158" s="78"/>
      <c r="BV158" s="78"/>
      <c r="BW158" s="78"/>
      <c r="BX158" s="78"/>
      <c r="BY158" s="78"/>
      <c r="BZ158" s="78"/>
    </row>
    <row r="159" spans="1:78" s="79" customFormat="1" ht="22.15" customHeight="1" x14ac:dyDescent="0.2">
      <c r="A159" s="95"/>
      <c r="B159" s="59">
        <v>3</v>
      </c>
      <c r="C159" s="97"/>
      <c r="D159" s="98"/>
      <c r="E159" s="52"/>
      <c r="F159" s="55"/>
      <c r="G159" s="55"/>
      <c r="H159" s="52"/>
      <c r="I159" s="55"/>
      <c r="J159" s="55">
        <v>1</v>
      </c>
      <c r="K159" s="52" t="str">
        <f>IF(B27="","",B27)</f>
        <v>FCAPL_04</v>
      </c>
      <c r="L159" s="55">
        <f>IF(D27="","",D27)</f>
        <v>9.5000000000000001E-2</v>
      </c>
      <c r="M159" s="56"/>
      <c r="N159" s="56"/>
      <c r="O159" s="56"/>
      <c r="P159" s="56"/>
      <c r="Q159" s="56"/>
      <c r="R159" s="56"/>
      <c r="S159" s="12"/>
      <c r="T159" s="76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  <c r="AY159" s="78"/>
      <c r="AZ159" s="78"/>
      <c r="BA159" s="78"/>
      <c r="BB159" s="78"/>
      <c r="BC159" s="78"/>
      <c r="BD159" s="78"/>
      <c r="BE159" s="78"/>
      <c r="BF159" s="78"/>
      <c r="BG159" s="78"/>
      <c r="BH159" s="78"/>
      <c r="BI159" s="78"/>
      <c r="BJ159" s="78"/>
      <c r="BK159" s="78"/>
      <c r="BL159" s="78"/>
      <c r="BM159" s="78"/>
      <c r="BN159" s="78"/>
      <c r="BO159" s="78"/>
      <c r="BP159" s="78"/>
      <c r="BQ159" s="78"/>
      <c r="BR159" s="78"/>
      <c r="BS159" s="78"/>
      <c r="BT159" s="78"/>
      <c r="BU159" s="78"/>
      <c r="BV159" s="78"/>
      <c r="BW159" s="78"/>
      <c r="BX159" s="78"/>
      <c r="BY159" s="78"/>
      <c r="BZ159" s="78"/>
    </row>
    <row r="160" spans="1:78" s="94" customFormat="1" ht="22.15" customHeight="1" x14ac:dyDescent="0.2">
      <c r="A160" s="92"/>
      <c r="B160" s="169" t="s">
        <v>61</v>
      </c>
      <c r="C160" s="170"/>
      <c r="D160" s="170"/>
      <c r="E160" s="170"/>
      <c r="F160" s="170"/>
      <c r="G160" s="170"/>
      <c r="H160" s="170"/>
      <c r="I160" s="170"/>
      <c r="J160" s="170"/>
      <c r="K160" s="170"/>
      <c r="L160" s="170"/>
      <c r="M160" s="170"/>
      <c r="N160" s="170"/>
      <c r="O160" s="170"/>
      <c r="P160" s="170"/>
      <c r="Q160" s="170"/>
      <c r="R160" s="170"/>
      <c r="S160" s="170"/>
      <c r="T160" s="171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  <c r="AO160" s="93"/>
      <c r="AP160" s="93"/>
      <c r="AQ160" s="93"/>
      <c r="AR160" s="93"/>
      <c r="AS160" s="93"/>
      <c r="AT160" s="93"/>
      <c r="AU160" s="93"/>
      <c r="AV160" s="93"/>
      <c r="AW160" s="93"/>
      <c r="AX160" s="93"/>
      <c r="AY160" s="93"/>
      <c r="AZ160" s="93"/>
      <c r="BA160" s="93"/>
      <c r="BB160" s="93"/>
      <c r="BC160" s="93"/>
      <c r="BD160" s="93"/>
      <c r="BE160" s="93"/>
      <c r="BF160" s="93"/>
      <c r="BG160" s="93"/>
      <c r="BH160" s="93"/>
      <c r="BI160" s="93"/>
      <c r="BJ160" s="93"/>
      <c r="BK160" s="93"/>
      <c r="BL160" s="93"/>
      <c r="BM160" s="93"/>
      <c r="BN160" s="93"/>
      <c r="BO160" s="93"/>
      <c r="BP160" s="93"/>
      <c r="BQ160" s="93"/>
      <c r="BR160" s="93"/>
      <c r="BS160" s="93"/>
      <c r="BT160" s="93"/>
      <c r="BU160" s="93"/>
      <c r="BV160" s="93"/>
      <c r="BW160" s="93"/>
      <c r="BX160" s="93"/>
      <c r="BY160" s="93"/>
      <c r="BZ160" s="93"/>
    </row>
    <row r="161" spans="1:78" s="79" customFormat="1" ht="22.15" customHeight="1" x14ac:dyDescent="0.2">
      <c r="A161" s="95"/>
      <c r="B161" s="59">
        <v>1</v>
      </c>
      <c r="C161" s="97"/>
      <c r="D161" s="98">
        <v>3</v>
      </c>
      <c r="E161" s="52" t="str">
        <f>IF(B18="","",B18)</f>
        <v>APCL_06</v>
      </c>
      <c r="F161" s="55">
        <f>IF(D18="","",D18)</f>
        <v>-1000</v>
      </c>
      <c r="G161" s="17"/>
      <c r="H161" s="52"/>
      <c r="I161" s="55"/>
      <c r="J161" s="55"/>
      <c r="K161" s="55"/>
      <c r="L161" s="55"/>
      <c r="M161" s="56"/>
      <c r="N161" s="56"/>
      <c r="O161" s="56"/>
      <c r="P161" s="56"/>
      <c r="Q161" s="56"/>
      <c r="R161" s="56"/>
      <c r="S161" s="12"/>
      <c r="T161" s="76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  <c r="AU161" s="78"/>
      <c r="AV161" s="78"/>
      <c r="AW161" s="78"/>
      <c r="AX161" s="78"/>
      <c r="AY161" s="78"/>
      <c r="AZ161" s="78"/>
      <c r="BA161" s="78"/>
      <c r="BB161" s="78"/>
      <c r="BC161" s="78"/>
      <c r="BD161" s="78"/>
      <c r="BE161" s="78"/>
      <c r="BF161" s="78"/>
      <c r="BG161" s="78"/>
      <c r="BH161" s="78"/>
      <c r="BI161" s="78"/>
      <c r="BJ161" s="78"/>
      <c r="BK161" s="78"/>
      <c r="BL161" s="78"/>
      <c r="BM161" s="78"/>
      <c r="BN161" s="78"/>
      <c r="BO161" s="78"/>
      <c r="BP161" s="78"/>
      <c r="BQ161" s="78"/>
      <c r="BR161" s="78"/>
      <c r="BS161" s="78"/>
      <c r="BT161" s="78"/>
      <c r="BU161" s="78"/>
      <c r="BV161" s="78"/>
      <c r="BW161" s="78"/>
      <c r="BX161" s="78"/>
      <c r="BY161" s="78"/>
      <c r="BZ161" s="78"/>
    </row>
    <row r="162" spans="1:78" s="94" customFormat="1" ht="22.15" customHeight="1" x14ac:dyDescent="0.2">
      <c r="A162" s="92"/>
      <c r="B162" s="169" t="s">
        <v>62</v>
      </c>
      <c r="C162" s="170"/>
      <c r="D162" s="170"/>
      <c r="E162" s="170"/>
      <c r="F162" s="170"/>
      <c r="G162" s="170"/>
      <c r="H162" s="170"/>
      <c r="I162" s="170"/>
      <c r="J162" s="170"/>
      <c r="K162" s="170"/>
      <c r="L162" s="170"/>
      <c r="M162" s="170"/>
      <c r="N162" s="170"/>
      <c r="O162" s="170"/>
      <c r="P162" s="170"/>
      <c r="Q162" s="170"/>
      <c r="R162" s="170"/>
      <c r="S162" s="170"/>
      <c r="T162" s="171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  <c r="AO162" s="93"/>
      <c r="AP162" s="93"/>
      <c r="AQ162" s="93"/>
      <c r="AR162" s="93"/>
      <c r="AS162" s="93"/>
      <c r="AT162" s="93"/>
      <c r="AU162" s="93"/>
      <c r="AV162" s="93"/>
      <c r="AW162" s="93"/>
      <c r="AX162" s="93"/>
      <c r="AY162" s="93"/>
      <c r="AZ162" s="93"/>
      <c r="BA162" s="93"/>
      <c r="BB162" s="93"/>
      <c r="BC162" s="93"/>
      <c r="BD162" s="93"/>
      <c r="BE162" s="93"/>
      <c r="BF162" s="93"/>
      <c r="BG162" s="93"/>
      <c r="BH162" s="93"/>
      <c r="BI162" s="93"/>
      <c r="BJ162" s="93"/>
      <c r="BK162" s="93"/>
      <c r="BL162" s="93"/>
      <c r="BM162" s="93"/>
      <c r="BN162" s="93"/>
      <c r="BO162" s="93"/>
      <c r="BP162" s="93"/>
      <c r="BQ162" s="93"/>
      <c r="BR162" s="93"/>
      <c r="BS162" s="93"/>
      <c r="BT162" s="93"/>
      <c r="BU162" s="93"/>
      <c r="BV162" s="93"/>
      <c r="BW162" s="93"/>
      <c r="BX162" s="93"/>
      <c r="BY162" s="93"/>
      <c r="BZ162" s="93"/>
    </row>
    <row r="163" spans="1:78" s="79" customFormat="1" ht="22.15" customHeight="1" x14ac:dyDescent="0.2">
      <c r="A163" s="95"/>
      <c r="B163" s="59">
        <v>1</v>
      </c>
      <c r="C163" s="97"/>
      <c r="D163" s="98">
        <v>3</v>
      </c>
      <c r="E163" s="52" t="str">
        <f>IF(B14="","",B14)</f>
        <v>APCL_02</v>
      </c>
      <c r="F163" s="55">
        <f>IF(D14="","",D14)</f>
        <v>5.000000000000001E-3</v>
      </c>
      <c r="G163" s="55" t="s">
        <v>37</v>
      </c>
      <c r="H163" s="52"/>
      <c r="I163" s="55"/>
      <c r="J163" s="55"/>
      <c r="K163" s="55"/>
      <c r="L163" s="55"/>
      <c r="M163" s="56"/>
      <c r="N163" s="56"/>
      <c r="O163" s="56"/>
      <c r="P163" s="56"/>
      <c r="Q163" s="56"/>
      <c r="R163" s="56"/>
      <c r="S163" s="12"/>
      <c r="T163" s="76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78"/>
      <c r="BH163" s="78"/>
      <c r="BI163" s="78"/>
      <c r="BJ163" s="78"/>
      <c r="BK163" s="78"/>
      <c r="BL163" s="78"/>
      <c r="BM163" s="78"/>
      <c r="BN163" s="78"/>
      <c r="BO163" s="78"/>
      <c r="BP163" s="78"/>
      <c r="BQ163" s="78"/>
      <c r="BR163" s="78"/>
      <c r="BS163" s="78"/>
      <c r="BT163" s="78"/>
      <c r="BU163" s="78"/>
      <c r="BV163" s="78"/>
      <c r="BW163" s="78"/>
      <c r="BX163" s="78"/>
      <c r="BY163" s="78"/>
      <c r="BZ163" s="78"/>
    </row>
    <row r="164" spans="1:78" s="79" customFormat="1" ht="22.15" customHeight="1" x14ac:dyDescent="0.2">
      <c r="A164" s="95"/>
      <c r="B164" s="59">
        <v>2</v>
      </c>
      <c r="C164" s="97"/>
      <c r="D164" s="98">
        <v>3</v>
      </c>
      <c r="E164" s="52" t="str">
        <f>IF(B15="","",B15)</f>
        <v>APCL_03</v>
      </c>
      <c r="F164" s="55" t="str">
        <f>IF(D15="","",D15)</f>
        <v/>
      </c>
      <c r="G164" s="55" t="s">
        <v>37</v>
      </c>
      <c r="H164" s="52"/>
      <c r="I164" s="55"/>
      <c r="J164" s="55"/>
      <c r="K164" s="55"/>
      <c r="L164" s="55"/>
      <c r="M164" s="56"/>
      <c r="N164" s="56"/>
      <c r="O164" s="56"/>
      <c r="P164" s="56"/>
      <c r="Q164" s="56"/>
      <c r="R164" s="56"/>
      <c r="S164" s="12"/>
      <c r="T164" s="76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  <c r="AY164" s="78"/>
      <c r="AZ164" s="78"/>
      <c r="BA164" s="78"/>
      <c r="BB164" s="78"/>
      <c r="BC164" s="78"/>
      <c r="BD164" s="78"/>
      <c r="BE164" s="78"/>
      <c r="BF164" s="78"/>
      <c r="BG164" s="78"/>
      <c r="BH164" s="78"/>
      <c r="BI164" s="78"/>
      <c r="BJ164" s="78"/>
      <c r="BK164" s="78"/>
      <c r="BL164" s="78"/>
      <c r="BM164" s="78"/>
      <c r="BN164" s="78"/>
      <c r="BO164" s="78"/>
      <c r="BP164" s="78"/>
      <c r="BQ164" s="78"/>
      <c r="BR164" s="78"/>
      <c r="BS164" s="78"/>
      <c r="BT164" s="78"/>
      <c r="BU164" s="78"/>
      <c r="BV164" s="78"/>
      <c r="BW164" s="78"/>
      <c r="BX164" s="78"/>
      <c r="BY164" s="78"/>
      <c r="BZ164" s="78"/>
    </row>
    <row r="165" spans="1:78" s="79" customFormat="1" ht="22.15" customHeight="1" x14ac:dyDescent="0.2">
      <c r="A165" s="95"/>
      <c r="B165" s="59">
        <v>3</v>
      </c>
      <c r="C165" s="97"/>
      <c r="D165" s="98">
        <v>3</v>
      </c>
      <c r="E165" s="52" t="str">
        <f>IF(B16="","",B16)</f>
        <v>APCL_04</v>
      </c>
      <c r="F165" s="55">
        <f t="shared" ref="F165" si="0">IF(D16="","",D16)</f>
        <v>9.5000000000000001E-2</v>
      </c>
      <c r="G165" s="55" t="s">
        <v>37</v>
      </c>
      <c r="H165" s="52"/>
      <c r="I165" s="55"/>
      <c r="J165" s="55"/>
      <c r="K165" s="55"/>
      <c r="L165" s="55"/>
      <c r="M165" s="56"/>
      <c r="N165" s="56"/>
      <c r="O165" s="56"/>
      <c r="P165" s="56"/>
      <c r="Q165" s="56"/>
      <c r="R165" s="56"/>
      <c r="S165" s="12"/>
      <c r="T165" s="76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  <c r="AY165" s="78"/>
      <c r="AZ165" s="78"/>
      <c r="BA165" s="78"/>
      <c r="BB165" s="78"/>
      <c r="BC165" s="78"/>
      <c r="BD165" s="78"/>
      <c r="BE165" s="78"/>
      <c r="BF165" s="78"/>
      <c r="BG165" s="78"/>
      <c r="BH165" s="78"/>
      <c r="BI165" s="78"/>
      <c r="BJ165" s="78"/>
      <c r="BK165" s="78"/>
      <c r="BL165" s="78"/>
      <c r="BM165" s="78"/>
      <c r="BN165" s="78"/>
      <c r="BO165" s="78"/>
      <c r="BP165" s="78"/>
      <c r="BQ165" s="78"/>
      <c r="BR165" s="78"/>
      <c r="BS165" s="78"/>
      <c r="BT165" s="78"/>
      <c r="BU165" s="78"/>
      <c r="BV165" s="78"/>
      <c r="BW165" s="78"/>
      <c r="BX165" s="78"/>
      <c r="BY165" s="78"/>
      <c r="BZ165" s="78"/>
    </row>
    <row r="166" spans="1:78" s="94" customFormat="1" ht="22.15" customHeight="1" x14ac:dyDescent="0.2">
      <c r="A166" s="92"/>
      <c r="B166" s="169" t="s">
        <v>63</v>
      </c>
      <c r="C166" s="170"/>
      <c r="D166" s="170"/>
      <c r="E166" s="170"/>
      <c r="F166" s="170"/>
      <c r="G166" s="170"/>
      <c r="H166" s="170"/>
      <c r="I166" s="170"/>
      <c r="J166" s="170"/>
      <c r="K166" s="170"/>
      <c r="L166" s="170"/>
      <c r="M166" s="170"/>
      <c r="N166" s="170"/>
      <c r="O166" s="170"/>
      <c r="P166" s="170"/>
      <c r="Q166" s="170"/>
      <c r="R166" s="170"/>
      <c r="S166" s="170"/>
      <c r="T166" s="171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  <c r="AO166" s="93"/>
      <c r="AP166" s="93"/>
      <c r="AQ166" s="93"/>
      <c r="AR166" s="93"/>
      <c r="AS166" s="93"/>
      <c r="AT166" s="93"/>
      <c r="AU166" s="93"/>
      <c r="AV166" s="93"/>
      <c r="AW166" s="93"/>
      <c r="AX166" s="93"/>
      <c r="AY166" s="93"/>
      <c r="AZ166" s="93"/>
      <c r="BA166" s="93"/>
      <c r="BB166" s="93"/>
      <c r="BC166" s="93"/>
      <c r="BD166" s="93"/>
      <c r="BE166" s="93"/>
      <c r="BF166" s="93"/>
      <c r="BG166" s="93"/>
      <c r="BH166" s="93"/>
      <c r="BI166" s="93"/>
      <c r="BJ166" s="93"/>
      <c r="BK166" s="93"/>
      <c r="BL166" s="93"/>
      <c r="BM166" s="93"/>
      <c r="BN166" s="93"/>
      <c r="BO166" s="93"/>
      <c r="BP166" s="93"/>
      <c r="BQ166" s="93"/>
      <c r="BR166" s="93"/>
      <c r="BS166" s="93"/>
      <c r="BT166" s="93"/>
      <c r="BU166" s="93"/>
      <c r="BV166" s="93"/>
      <c r="BW166" s="93"/>
      <c r="BX166" s="93"/>
      <c r="BY166" s="93"/>
      <c r="BZ166" s="93"/>
    </row>
    <row r="167" spans="1:78" s="79" customFormat="1" ht="22.15" customHeight="1" x14ac:dyDescent="0.2">
      <c r="A167" s="95"/>
      <c r="B167" s="59">
        <v>1</v>
      </c>
      <c r="C167" s="97"/>
      <c r="D167" s="98">
        <v>3</v>
      </c>
      <c r="E167" s="52" t="str">
        <f>IF(B14="","",B14)</f>
        <v>APCL_02</v>
      </c>
      <c r="F167" s="55">
        <f>IF(D14="","",D14)</f>
        <v>5.000000000000001E-3</v>
      </c>
      <c r="G167" s="55" t="s">
        <v>34</v>
      </c>
      <c r="H167" s="52" t="s">
        <v>12</v>
      </c>
      <c r="I167" s="55" t="s">
        <v>76</v>
      </c>
      <c r="J167" s="55"/>
      <c r="K167" s="55"/>
      <c r="L167" s="55"/>
      <c r="M167" s="56"/>
      <c r="N167" s="56"/>
      <c r="O167" s="56"/>
      <c r="P167" s="56"/>
      <c r="Q167" s="56"/>
      <c r="R167" s="56"/>
      <c r="S167" s="12"/>
      <c r="T167" s="76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  <c r="AY167" s="78"/>
      <c r="AZ167" s="78"/>
      <c r="BA167" s="78"/>
      <c r="BB167" s="78"/>
      <c r="BC167" s="78"/>
      <c r="BD167" s="78"/>
      <c r="BE167" s="78"/>
      <c r="BF167" s="78"/>
      <c r="BG167" s="78"/>
      <c r="BH167" s="78"/>
      <c r="BI167" s="78"/>
      <c r="BJ167" s="78"/>
      <c r="BK167" s="78"/>
      <c r="BL167" s="78"/>
      <c r="BM167" s="78"/>
      <c r="BN167" s="78"/>
      <c r="BO167" s="78"/>
      <c r="BP167" s="78"/>
      <c r="BQ167" s="78"/>
      <c r="BR167" s="78"/>
      <c r="BS167" s="78"/>
      <c r="BT167" s="78"/>
      <c r="BU167" s="78"/>
      <c r="BV167" s="78"/>
      <c r="BW167" s="78"/>
      <c r="BX167" s="78"/>
      <c r="BY167" s="78"/>
      <c r="BZ167" s="78"/>
    </row>
    <row r="168" spans="1:78" s="79" customFormat="1" ht="22.15" customHeight="1" x14ac:dyDescent="0.2">
      <c r="A168" s="95"/>
      <c r="B168" s="59">
        <v>2</v>
      </c>
      <c r="C168" s="97"/>
      <c r="D168" s="98">
        <v>3</v>
      </c>
      <c r="E168" s="52" t="str">
        <f>IF(B15="","",B15)</f>
        <v>APCL_03</v>
      </c>
      <c r="F168" s="55" t="str">
        <f>IF(D15="","",D15)</f>
        <v/>
      </c>
      <c r="G168" s="55" t="s">
        <v>34</v>
      </c>
      <c r="H168" s="52" t="s">
        <v>12</v>
      </c>
      <c r="I168" s="55" t="s">
        <v>76</v>
      </c>
      <c r="J168" s="55"/>
      <c r="K168" s="55"/>
      <c r="L168" s="55"/>
      <c r="M168" s="56"/>
      <c r="N168" s="56"/>
      <c r="O168" s="56"/>
      <c r="P168" s="56"/>
      <c r="Q168" s="56"/>
      <c r="R168" s="56"/>
      <c r="S168" s="12"/>
      <c r="T168" s="76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78"/>
      <c r="AU168" s="78"/>
      <c r="AV168" s="78"/>
      <c r="AW168" s="78"/>
      <c r="AX168" s="78"/>
      <c r="AY168" s="78"/>
      <c r="AZ168" s="78"/>
      <c r="BA168" s="78"/>
      <c r="BB168" s="78"/>
      <c r="BC168" s="78"/>
      <c r="BD168" s="78"/>
      <c r="BE168" s="78"/>
      <c r="BF168" s="78"/>
      <c r="BG168" s="78"/>
      <c r="BH168" s="78"/>
      <c r="BI168" s="78"/>
      <c r="BJ168" s="78"/>
      <c r="BK168" s="78"/>
      <c r="BL168" s="78"/>
      <c r="BM168" s="78"/>
      <c r="BN168" s="78"/>
      <c r="BO168" s="78"/>
      <c r="BP168" s="78"/>
      <c r="BQ168" s="78"/>
      <c r="BR168" s="78"/>
      <c r="BS168" s="78"/>
      <c r="BT168" s="78"/>
      <c r="BU168" s="78"/>
      <c r="BV168" s="78"/>
      <c r="BW168" s="78"/>
      <c r="BX168" s="78"/>
      <c r="BY168" s="78"/>
      <c r="BZ168" s="78"/>
    </row>
    <row r="169" spans="1:78" s="79" customFormat="1" ht="22.15" customHeight="1" x14ac:dyDescent="0.2">
      <c r="A169" s="95"/>
      <c r="B169" s="59">
        <v>3</v>
      </c>
      <c r="C169" s="97"/>
      <c r="D169" s="98">
        <v>3</v>
      </c>
      <c r="E169" s="52" t="str">
        <f>IF(B16="","",B16)</f>
        <v>APCL_04</v>
      </c>
      <c r="F169" s="55">
        <f>IF(D16="","",D16)</f>
        <v>9.5000000000000001E-2</v>
      </c>
      <c r="G169" s="55" t="s">
        <v>34</v>
      </c>
      <c r="H169" s="52" t="s">
        <v>12</v>
      </c>
      <c r="I169" s="55" t="s">
        <v>76</v>
      </c>
      <c r="J169" s="55"/>
      <c r="K169" s="55"/>
      <c r="L169" s="55"/>
      <c r="M169" s="56"/>
      <c r="N169" s="56"/>
      <c r="O169" s="56"/>
      <c r="P169" s="56"/>
      <c r="Q169" s="56"/>
      <c r="R169" s="56"/>
      <c r="S169" s="12"/>
      <c r="T169" s="76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  <c r="AU169" s="78"/>
      <c r="AV169" s="78"/>
      <c r="AW169" s="78"/>
      <c r="AX169" s="78"/>
      <c r="AY169" s="78"/>
      <c r="AZ169" s="78"/>
      <c r="BA169" s="78"/>
      <c r="BB169" s="78"/>
      <c r="BC169" s="78"/>
      <c r="BD169" s="78"/>
      <c r="BE169" s="78"/>
      <c r="BF169" s="78"/>
      <c r="BG169" s="78"/>
      <c r="BH169" s="78"/>
      <c r="BI169" s="78"/>
      <c r="BJ169" s="78"/>
      <c r="BK169" s="78"/>
      <c r="BL169" s="78"/>
      <c r="BM169" s="78"/>
      <c r="BN169" s="78"/>
      <c r="BO169" s="78"/>
      <c r="BP169" s="78"/>
      <c r="BQ169" s="78"/>
      <c r="BR169" s="78"/>
      <c r="BS169" s="78"/>
      <c r="BT169" s="78"/>
      <c r="BU169" s="78"/>
      <c r="BV169" s="78"/>
      <c r="BW169" s="78"/>
      <c r="BX169" s="78"/>
      <c r="BY169" s="78"/>
      <c r="BZ169" s="78"/>
    </row>
    <row r="170" spans="1:78" s="94" customFormat="1" ht="22.15" customHeight="1" x14ac:dyDescent="0.2">
      <c r="A170" s="92"/>
      <c r="B170" s="169" t="s">
        <v>93</v>
      </c>
      <c r="C170" s="170"/>
      <c r="D170" s="170"/>
      <c r="E170" s="170"/>
      <c r="F170" s="170"/>
      <c r="G170" s="170"/>
      <c r="H170" s="170"/>
      <c r="I170" s="170"/>
      <c r="J170" s="170"/>
      <c r="K170" s="170"/>
      <c r="L170" s="170"/>
      <c r="M170" s="170"/>
      <c r="N170" s="170"/>
      <c r="O170" s="170"/>
      <c r="P170" s="170"/>
      <c r="Q170" s="170"/>
      <c r="R170" s="170"/>
      <c r="S170" s="170"/>
      <c r="T170" s="171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  <c r="AO170" s="93"/>
      <c r="AP170" s="93"/>
      <c r="AQ170" s="93"/>
      <c r="AR170" s="93"/>
      <c r="AS170" s="93"/>
      <c r="AT170" s="93"/>
      <c r="AU170" s="93"/>
      <c r="AV170" s="93"/>
      <c r="AW170" s="93"/>
      <c r="AX170" s="93"/>
      <c r="AY170" s="93"/>
      <c r="AZ170" s="93"/>
      <c r="BA170" s="93"/>
      <c r="BB170" s="93"/>
      <c r="BC170" s="93"/>
      <c r="BD170" s="93"/>
      <c r="BE170" s="93"/>
      <c r="BF170" s="93"/>
      <c r="BG170" s="93"/>
      <c r="BH170" s="93"/>
      <c r="BI170" s="93"/>
      <c r="BJ170" s="93"/>
      <c r="BK170" s="93"/>
      <c r="BL170" s="93"/>
      <c r="BM170" s="93"/>
      <c r="BN170" s="93"/>
      <c r="BO170" s="93"/>
      <c r="BP170" s="93"/>
      <c r="BQ170" s="93"/>
      <c r="BR170" s="93"/>
      <c r="BS170" s="93"/>
      <c r="BT170" s="93"/>
      <c r="BU170" s="93"/>
      <c r="BV170" s="93"/>
      <c r="BW170" s="93"/>
      <c r="BX170" s="93"/>
      <c r="BY170" s="93"/>
      <c r="BZ170" s="93"/>
    </row>
    <row r="171" spans="1:78" s="79" customFormat="1" ht="22.15" customHeight="1" x14ac:dyDescent="0.2">
      <c r="A171" s="95"/>
      <c r="B171" s="59">
        <v>1</v>
      </c>
      <c r="C171" s="97"/>
      <c r="D171" s="98"/>
      <c r="E171" s="52"/>
      <c r="F171" s="55"/>
      <c r="G171" s="55"/>
      <c r="H171" s="52"/>
      <c r="I171" s="55"/>
      <c r="J171" s="55"/>
      <c r="K171" s="55"/>
      <c r="L171" s="55"/>
      <c r="M171" s="56"/>
      <c r="N171" s="56" t="str">
        <f>IF(B34="","",B34)</f>
        <v>FCAPL_DUR_02</v>
      </c>
      <c r="O171" s="56" t="str">
        <f>IF(D34="","",D34)</f>
        <v/>
      </c>
      <c r="P171" s="56"/>
      <c r="Q171" s="56"/>
      <c r="R171" s="56"/>
      <c r="S171" s="12"/>
      <c r="T171" s="76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78"/>
      <c r="AU171" s="78"/>
      <c r="AV171" s="78"/>
      <c r="AW171" s="78"/>
      <c r="AX171" s="78"/>
      <c r="AY171" s="78"/>
      <c r="AZ171" s="78"/>
      <c r="BA171" s="78"/>
      <c r="BB171" s="78"/>
      <c r="BC171" s="78"/>
      <c r="BD171" s="78"/>
      <c r="BE171" s="78"/>
      <c r="BF171" s="78"/>
      <c r="BG171" s="78"/>
      <c r="BH171" s="78"/>
      <c r="BI171" s="78"/>
      <c r="BJ171" s="78"/>
      <c r="BK171" s="78"/>
      <c r="BL171" s="78"/>
      <c r="BM171" s="78"/>
      <c r="BN171" s="78"/>
      <c r="BO171" s="78"/>
      <c r="BP171" s="78"/>
      <c r="BQ171" s="78"/>
      <c r="BR171" s="78"/>
      <c r="BS171" s="78"/>
      <c r="BT171" s="78"/>
      <c r="BU171" s="78"/>
      <c r="BV171" s="78"/>
      <c r="BW171" s="78"/>
      <c r="BX171" s="78"/>
      <c r="BY171" s="78"/>
      <c r="BZ171" s="78"/>
    </row>
    <row r="172" spans="1:78" s="94" customFormat="1" ht="22.15" customHeight="1" x14ac:dyDescent="0.2">
      <c r="A172" s="92"/>
      <c r="B172" s="169" t="s">
        <v>94</v>
      </c>
      <c r="C172" s="170"/>
      <c r="D172" s="170"/>
      <c r="E172" s="170"/>
      <c r="F172" s="170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1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  <c r="AO172" s="93"/>
      <c r="AP172" s="93"/>
      <c r="AQ172" s="93"/>
      <c r="AR172" s="93"/>
      <c r="AS172" s="93"/>
      <c r="AT172" s="93"/>
      <c r="AU172" s="93"/>
      <c r="AV172" s="93"/>
      <c r="AW172" s="93"/>
      <c r="AX172" s="93"/>
      <c r="AY172" s="93"/>
      <c r="AZ172" s="93"/>
      <c r="BA172" s="93"/>
      <c r="BB172" s="93"/>
      <c r="BC172" s="93"/>
      <c r="BD172" s="93"/>
      <c r="BE172" s="93"/>
      <c r="BF172" s="93"/>
      <c r="BG172" s="93"/>
      <c r="BH172" s="93"/>
      <c r="BI172" s="93"/>
      <c r="BJ172" s="93"/>
      <c r="BK172" s="93"/>
      <c r="BL172" s="93"/>
      <c r="BM172" s="93"/>
      <c r="BN172" s="93"/>
      <c r="BO172" s="93"/>
      <c r="BP172" s="93"/>
      <c r="BQ172" s="93"/>
      <c r="BR172" s="93"/>
      <c r="BS172" s="93"/>
      <c r="BT172" s="93"/>
      <c r="BU172" s="93"/>
      <c r="BV172" s="93"/>
      <c r="BW172" s="93"/>
      <c r="BX172" s="93"/>
      <c r="BY172" s="93"/>
      <c r="BZ172" s="93"/>
    </row>
    <row r="173" spans="1:78" s="79" customFormat="1" ht="22.15" customHeight="1" x14ac:dyDescent="0.2">
      <c r="A173" s="95"/>
      <c r="B173" s="59">
        <v>1</v>
      </c>
      <c r="C173" s="97"/>
      <c r="D173" s="98"/>
      <c r="E173" s="52"/>
      <c r="F173" s="55"/>
      <c r="G173" s="55"/>
      <c r="H173" s="52"/>
      <c r="I173" s="55"/>
      <c r="J173" s="55"/>
      <c r="K173" s="55"/>
      <c r="L173" s="55"/>
      <c r="M173" s="56"/>
      <c r="N173" s="56"/>
      <c r="O173" s="56"/>
      <c r="P173" s="56"/>
      <c r="Q173" s="56"/>
      <c r="R173" s="56"/>
      <c r="S173" s="12"/>
      <c r="T173" s="76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  <c r="AU173" s="78"/>
      <c r="AV173" s="78"/>
      <c r="AW173" s="78"/>
      <c r="AX173" s="78"/>
      <c r="AY173" s="78"/>
      <c r="AZ173" s="78"/>
      <c r="BA173" s="78"/>
      <c r="BB173" s="78"/>
      <c r="BC173" s="78"/>
      <c r="BD173" s="78"/>
      <c r="BE173" s="78"/>
      <c r="BF173" s="78"/>
      <c r="BG173" s="78"/>
      <c r="BH173" s="78"/>
      <c r="BI173" s="78"/>
      <c r="BJ173" s="78"/>
      <c r="BK173" s="78"/>
      <c r="BL173" s="78"/>
      <c r="BM173" s="78"/>
      <c r="BN173" s="78"/>
      <c r="BO173" s="78"/>
      <c r="BP173" s="78"/>
      <c r="BQ173" s="78"/>
      <c r="BR173" s="78"/>
      <c r="BS173" s="78"/>
      <c r="BT173" s="78"/>
      <c r="BU173" s="78"/>
      <c r="BV173" s="78"/>
      <c r="BW173" s="78"/>
      <c r="BX173" s="78"/>
      <c r="BY173" s="78"/>
      <c r="BZ173" s="78"/>
    </row>
    <row r="174" spans="1:78" s="94" customFormat="1" ht="22.15" customHeight="1" x14ac:dyDescent="0.2">
      <c r="A174" s="92"/>
      <c r="B174" s="169" t="s">
        <v>64</v>
      </c>
      <c r="C174" s="170"/>
      <c r="D174" s="170"/>
      <c r="E174" s="170"/>
      <c r="F174" s="170"/>
      <c r="G174" s="170"/>
      <c r="H174" s="170"/>
      <c r="I174" s="170"/>
      <c r="J174" s="170"/>
      <c r="K174" s="170"/>
      <c r="L174" s="170"/>
      <c r="M174" s="170"/>
      <c r="N174" s="170"/>
      <c r="O174" s="170"/>
      <c r="P174" s="170"/>
      <c r="Q174" s="170"/>
      <c r="R174" s="170"/>
      <c r="S174" s="170"/>
      <c r="T174" s="171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  <c r="AO174" s="93"/>
      <c r="AP174" s="93"/>
      <c r="AQ174" s="93"/>
      <c r="AR174" s="93"/>
      <c r="AS174" s="93"/>
      <c r="AT174" s="93"/>
      <c r="AU174" s="93"/>
      <c r="AV174" s="93"/>
      <c r="AW174" s="93"/>
      <c r="AX174" s="93"/>
      <c r="AY174" s="93"/>
      <c r="AZ174" s="93"/>
      <c r="BA174" s="93"/>
      <c r="BB174" s="93"/>
      <c r="BC174" s="93"/>
      <c r="BD174" s="93"/>
      <c r="BE174" s="93"/>
      <c r="BF174" s="93"/>
      <c r="BG174" s="93"/>
      <c r="BH174" s="93"/>
      <c r="BI174" s="93"/>
      <c r="BJ174" s="93"/>
      <c r="BK174" s="93"/>
      <c r="BL174" s="93"/>
      <c r="BM174" s="93"/>
      <c r="BN174" s="93"/>
      <c r="BO174" s="93"/>
      <c r="BP174" s="93"/>
      <c r="BQ174" s="93"/>
      <c r="BR174" s="93"/>
      <c r="BS174" s="93"/>
      <c r="BT174" s="93"/>
      <c r="BU174" s="93"/>
      <c r="BV174" s="93"/>
      <c r="BW174" s="93"/>
      <c r="BX174" s="93"/>
      <c r="BY174" s="93"/>
      <c r="BZ174" s="93"/>
    </row>
    <row r="175" spans="1:78" s="79" customFormat="1" ht="22.15" customHeight="1" x14ac:dyDescent="0.2">
      <c r="A175" s="95"/>
      <c r="B175" s="59">
        <v>1</v>
      </c>
      <c r="C175" s="97"/>
      <c r="D175" s="98">
        <v>3</v>
      </c>
      <c r="E175" s="52" t="str">
        <f>IF(B18="","",B18)</f>
        <v>APCL_06</v>
      </c>
      <c r="F175" s="55">
        <f>IF(D18="","",D18)</f>
        <v>-1000</v>
      </c>
      <c r="G175" s="17"/>
      <c r="H175" s="52"/>
      <c r="I175" s="55"/>
      <c r="J175" s="55"/>
      <c r="K175" s="55"/>
      <c r="L175" s="55"/>
      <c r="M175" s="56"/>
      <c r="N175" s="56"/>
      <c r="O175" s="56"/>
      <c r="P175" s="56"/>
      <c r="Q175" s="56"/>
      <c r="R175" s="56"/>
      <c r="S175" s="12"/>
      <c r="T175" s="76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78"/>
      <c r="AU175" s="78"/>
      <c r="AV175" s="78"/>
      <c r="AW175" s="78"/>
      <c r="AX175" s="78"/>
      <c r="AY175" s="78"/>
      <c r="AZ175" s="78"/>
      <c r="BA175" s="78"/>
      <c r="BB175" s="78"/>
      <c r="BC175" s="78"/>
      <c r="BD175" s="78"/>
      <c r="BE175" s="78"/>
      <c r="BF175" s="78"/>
      <c r="BG175" s="78"/>
      <c r="BH175" s="78"/>
      <c r="BI175" s="78"/>
      <c r="BJ175" s="78"/>
      <c r="BK175" s="78"/>
      <c r="BL175" s="78"/>
      <c r="BM175" s="78"/>
      <c r="BN175" s="78"/>
      <c r="BO175" s="78"/>
      <c r="BP175" s="78"/>
      <c r="BQ175" s="78"/>
      <c r="BR175" s="78"/>
      <c r="BS175" s="78"/>
      <c r="BT175" s="78"/>
      <c r="BU175" s="78"/>
      <c r="BV175" s="78"/>
      <c r="BW175" s="78"/>
      <c r="BX175" s="78"/>
      <c r="BY175" s="78"/>
      <c r="BZ175" s="78"/>
    </row>
    <row r="176" spans="1:78" s="94" customFormat="1" ht="22.15" customHeight="1" x14ac:dyDescent="0.2">
      <c r="A176" s="92"/>
      <c r="B176" s="169" t="s">
        <v>65</v>
      </c>
      <c r="C176" s="170"/>
      <c r="D176" s="170"/>
      <c r="E176" s="170"/>
      <c r="F176" s="170"/>
      <c r="G176" s="170"/>
      <c r="H176" s="170"/>
      <c r="I176" s="170"/>
      <c r="J176" s="170"/>
      <c r="K176" s="170"/>
      <c r="L176" s="170"/>
      <c r="M176" s="170"/>
      <c r="N176" s="170"/>
      <c r="O176" s="170"/>
      <c r="P176" s="170"/>
      <c r="Q176" s="170"/>
      <c r="R176" s="170"/>
      <c r="S176" s="170"/>
      <c r="T176" s="171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  <c r="AO176" s="93"/>
      <c r="AP176" s="93"/>
      <c r="AQ176" s="93"/>
      <c r="AR176" s="93"/>
      <c r="AS176" s="93"/>
      <c r="AT176" s="93"/>
      <c r="AU176" s="93"/>
      <c r="AV176" s="93"/>
      <c r="AW176" s="93"/>
      <c r="AX176" s="93"/>
      <c r="AY176" s="93"/>
      <c r="AZ176" s="93"/>
      <c r="BA176" s="93"/>
      <c r="BB176" s="93"/>
      <c r="BC176" s="93"/>
      <c r="BD176" s="93"/>
      <c r="BE176" s="93"/>
      <c r="BF176" s="93"/>
      <c r="BG176" s="93"/>
      <c r="BH176" s="93"/>
      <c r="BI176" s="93"/>
      <c r="BJ176" s="93"/>
      <c r="BK176" s="93"/>
      <c r="BL176" s="93"/>
      <c r="BM176" s="93"/>
      <c r="BN176" s="93"/>
      <c r="BO176" s="93"/>
      <c r="BP176" s="93"/>
      <c r="BQ176" s="93"/>
      <c r="BR176" s="93"/>
      <c r="BS176" s="93"/>
      <c r="BT176" s="93"/>
      <c r="BU176" s="93"/>
      <c r="BV176" s="93"/>
      <c r="BW176" s="93"/>
      <c r="BX176" s="93"/>
      <c r="BY176" s="93"/>
      <c r="BZ176" s="93"/>
    </row>
    <row r="177" spans="1:78" s="79" customFormat="1" ht="22.15" customHeight="1" x14ac:dyDescent="0.2">
      <c r="A177" s="95"/>
      <c r="B177" s="59">
        <v>1</v>
      </c>
      <c r="C177" s="97"/>
      <c r="D177" s="98">
        <v>3</v>
      </c>
      <c r="E177" s="52" t="str">
        <f>IF(B15="","",B15)</f>
        <v>APCL_03</v>
      </c>
      <c r="F177" s="55" t="str">
        <f>IF(D15="","",D15)</f>
        <v/>
      </c>
      <c r="G177" s="17"/>
      <c r="H177" s="52"/>
      <c r="I177" s="55"/>
      <c r="J177" s="55"/>
      <c r="K177" s="55"/>
      <c r="L177" s="55"/>
      <c r="M177" s="56"/>
      <c r="N177" s="56"/>
      <c r="O177" s="56"/>
      <c r="P177" s="56"/>
      <c r="Q177" s="56"/>
      <c r="R177" s="56"/>
      <c r="S177" s="12"/>
      <c r="T177" s="76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  <c r="AU177" s="78"/>
      <c r="AV177" s="78"/>
      <c r="AW177" s="78"/>
      <c r="AX177" s="78"/>
      <c r="AY177" s="78"/>
      <c r="AZ177" s="78"/>
      <c r="BA177" s="78"/>
      <c r="BB177" s="78"/>
      <c r="BC177" s="78"/>
      <c r="BD177" s="78"/>
      <c r="BE177" s="78"/>
      <c r="BF177" s="78"/>
      <c r="BG177" s="78"/>
      <c r="BH177" s="78"/>
      <c r="BI177" s="78"/>
      <c r="BJ177" s="78"/>
      <c r="BK177" s="78"/>
      <c r="BL177" s="78"/>
      <c r="BM177" s="78"/>
      <c r="BN177" s="78"/>
      <c r="BO177" s="78"/>
      <c r="BP177" s="78"/>
      <c r="BQ177" s="78"/>
      <c r="BR177" s="78"/>
      <c r="BS177" s="78"/>
      <c r="BT177" s="78"/>
      <c r="BU177" s="78"/>
      <c r="BV177" s="78"/>
      <c r="BW177" s="78"/>
      <c r="BX177" s="78"/>
      <c r="BY177" s="78"/>
      <c r="BZ177" s="78"/>
    </row>
    <row r="178" spans="1:78" s="94" customFormat="1" ht="22.15" customHeight="1" x14ac:dyDescent="0.2">
      <c r="A178" s="92"/>
      <c r="B178" s="169" t="s">
        <v>66</v>
      </c>
      <c r="C178" s="170"/>
      <c r="D178" s="170"/>
      <c r="E178" s="170"/>
      <c r="F178" s="170"/>
      <c r="G178" s="170"/>
      <c r="H178" s="170"/>
      <c r="I178" s="170"/>
      <c r="J178" s="170"/>
      <c r="K178" s="170"/>
      <c r="L178" s="170"/>
      <c r="M178" s="170"/>
      <c r="N178" s="170"/>
      <c r="O178" s="170"/>
      <c r="P178" s="170"/>
      <c r="Q178" s="170"/>
      <c r="R178" s="170"/>
      <c r="S178" s="170"/>
      <c r="T178" s="171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  <c r="AO178" s="93"/>
      <c r="AP178" s="93"/>
      <c r="AQ178" s="93"/>
      <c r="AR178" s="93"/>
      <c r="AS178" s="93"/>
      <c r="AT178" s="93"/>
      <c r="AU178" s="93"/>
      <c r="AV178" s="93"/>
      <c r="AW178" s="93"/>
      <c r="AX178" s="93"/>
      <c r="AY178" s="93"/>
      <c r="AZ178" s="93"/>
      <c r="BA178" s="93"/>
      <c r="BB178" s="93"/>
      <c r="BC178" s="93"/>
      <c r="BD178" s="93"/>
      <c r="BE178" s="93"/>
      <c r="BF178" s="93"/>
      <c r="BG178" s="93"/>
      <c r="BH178" s="93"/>
      <c r="BI178" s="93"/>
      <c r="BJ178" s="93"/>
      <c r="BK178" s="93"/>
      <c r="BL178" s="93"/>
      <c r="BM178" s="93"/>
      <c r="BN178" s="93"/>
      <c r="BO178" s="93"/>
      <c r="BP178" s="93"/>
      <c r="BQ178" s="93"/>
      <c r="BR178" s="93"/>
      <c r="BS178" s="93"/>
      <c r="BT178" s="93"/>
      <c r="BU178" s="93"/>
      <c r="BV178" s="93"/>
      <c r="BW178" s="93"/>
      <c r="BX178" s="93"/>
      <c r="BY178" s="93"/>
      <c r="BZ178" s="93"/>
    </row>
    <row r="179" spans="1:78" s="79" customFormat="1" ht="22.15" customHeight="1" x14ac:dyDescent="0.2">
      <c r="A179" s="95"/>
      <c r="B179" s="59">
        <v>1</v>
      </c>
      <c r="C179" s="97"/>
      <c r="D179" s="98">
        <v>3</v>
      </c>
      <c r="E179" s="52" t="str">
        <f>IF(B14="","",B14)</f>
        <v>APCL_02</v>
      </c>
      <c r="F179" s="55">
        <f>IF(D14="","",D14)</f>
        <v>5.000000000000001E-3</v>
      </c>
      <c r="G179" s="55" t="s">
        <v>34</v>
      </c>
      <c r="H179" s="52" t="s">
        <v>12</v>
      </c>
      <c r="I179" s="55" t="s">
        <v>76</v>
      </c>
      <c r="J179" s="55"/>
      <c r="K179" s="55"/>
      <c r="L179" s="55"/>
      <c r="M179" s="56"/>
      <c r="N179" s="56"/>
      <c r="O179" s="56"/>
      <c r="P179" s="56"/>
      <c r="Q179" s="56"/>
      <c r="R179" s="56"/>
      <c r="S179" s="12"/>
      <c r="T179" s="76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78"/>
      <c r="BA179" s="78"/>
      <c r="BB179" s="78"/>
      <c r="BC179" s="78"/>
      <c r="BD179" s="78"/>
      <c r="BE179" s="78"/>
      <c r="BF179" s="78"/>
      <c r="BG179" s="78"/>
      <c r="BH179" s="78"/>
      <c r="BI179" s="78"/>
      <c r="BJ179" s="78"/>
      <c r="BK179" s="78"/>
      <c r="BL179" s="78"/>
      <c r="BM179" s="78"/>
      <c r="BN179" s="78"/>
      <c r="BO179" s="78"/>
      <c r="BP179" s="78"/>
      <c r="BQ179" s="78"/>
      <c r="BR179" s="78"/>
      <c r="BS179" s="78"/>
      <c r="BT179" s="78"/>
      <c r="BU179" s="78"/>
      <c r="BV179" s="78"/>
      <c r="BW179" s="78"/>
      <c r="BX179" s="78"/>
      <c r="BY179" s="78"/>
      <c r="BZ179" s="78"/>
    </row>
    <row r="180" spans="1:78" s="79" customFormat="1" ht="22.15" customHeight="1" x14ac:dyDescent="0.2">
      <c r="A180" s="95"/>
      <c r="B180" s="59">
        <v>2</v>
      </c>
      <c r="C180" s="97"/>
      <c r="D180" s="98">
        <v>3</v>
      </c>
      <c r="E180" s="52" t="str">
        <f>IF(B15="","",B15)</f>
        <v>APCL_03</v>
      </c>
      <c r="F180" s="55" t="str">
        <f>IF(D15="","",D15)</f>
        <v/>
      </c>
      <c r="G180" s="55" t="s">
        <v>34</v>
      </c>
      <c r="H180" s="52" t="s">
        <v>12</v>
      </c>
      <c r="I180" s="55" t="s">
        <v>76</v>
      </c>
      <c r="J180" s="55"/>
      <c r="K180" s="55"/>
      <c r="L180" s="55"/>
      <c r="M180" s="56"/>
      <c r="N180" s="56"/>
      <c r="O180" s="56"/>
      <c r="P180" s="56"/>
      <c r="Q180" s="56"/>
      <c r="R180" s="56"/>
      <c r="S180" s="12"/>
      <c r="T180" s="76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78"/>
      <c r="AU180" s="78"/>
      <c r="AV180" s="78"/>
      <c r="AW180" s="78"/>
      <c r="AX180" s="78"/>
      <c r="AY180" s="78"/>
      <c r="AZ180" s="78"/>
      <c r="BA180" s="78"/>
      <c r="BB180" s="78"/>
      <c r="BC180" s="78"/>
      <c r="BD180" s="78"/>
      <c r="BE180" s="78"/>
      <c r="BF180" s="78"/>
      <c r="BG180" s="78"/>
      <c r="BH180" s="78"/>
      <c r="BI180" s="78"/>
      <c r="BJ180" s="78"/>
      <c r="BK180" s="78"/>
      <c r="BL180" s="78"/>
      <c r="BM180" s="78"/>
      <c r="BN180" s="78"/>
      <c r="BO180" s="78"/>
      <c r="BP180" s="78"/>
      <c r="BQ180" s="78"/>
      <c r="BR180" s="78"/>
      <c r="BS180" s="78"/>
      <c r="BT180" s="78"/>
      <c r="BU180" s="78"/>
      <c r="BV180" s="78"/>
      <c r="BW180" s="78"/>
      <c r="BX180" s="78"/>
      <c r="BY180" s="78"/>
      <c r="BZ180" s="78"/>
    </row>
    <row r="181" spans="1:78" s="79" customFormat="1" ht="22.15" customHeight="1" x14ac:dyDescent="0.2">
      <c r="A181" s="95"/>
      <c r="B181" s="59">
        <v>3</v>
      </c>
      <c r="C181" s="97"/>
      <c r="D181" s="98">
        <v>3</v>
      </c>
      <c r="E181" s="52" t="str">
        <f>IF(B16="","",B16)</f>
        <v>APCL_04</v>
      </c>
      <c r="F181" s="55">
        <f t="shared" ref="F181" si="1">IF(D16="","",D16)</f>
        <v>9.5000000000000001E-2</v>
      </c>
      <c r="G181" s="55" t="s">
        <v>34</v>
      </c>
      <c r="H181" s="52" t="s">
        <v>12</v>
      </c>
      <c r="I181" s="55" t="s">
        <v>76</v>
      </c>
      <c r="J181" s="55"/>
      <c r="K181" s="55"/>
      <c r="L181" s="55"/>
      <c r="M181" s="56"/>
      <c r="N181" s="56"/>
      <c r="O181" s="56"/>
      <c r="P181" s="56"/>
      <c r="Q181" s="56"/>
      <c r="R181" s="56"/>
      <c r="S181" s="12"/>
      <c r="T181" s="76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  <c r="AY181" s="78"/>
      <c r="AZ181" s="78"/>
      <c r="BA181" s="78"/>
      <c r="BB181" s="78"/>
      <c r="BC181" s="78"/>
      <c r="BD181" s="78"/>
      <c r="BE181" s="78"/>
      <c r="BF181" s="78"/>
      <c r="BG181" s="78"/>
      <c r="BH181" s="78"/>
      <c r="BI181" s="78"/>
      <c r="BJ181" s="78"/>
      <c r="BK181" s="78"/>
      <c r="BL181" s="78"/>
      <c r="BM181" s="78"/>
      <c r="BN181" s="78"/>
      <c r="BO181" s="78"/>
      <c r="BP181" s="78"/>
      <c r="BQ181" s="78"/>
      <c r="BR181" s="78"/>
      <c r="BS181" s="78"/>
      <c r="BT181" s="78"/>
      <c r="BU181" s="78"/>
      <c r="BV181" s="78"/>
      <c r="BW181" s="78"/>
      <c r="BX181" s="78"/>
      <c r="BY181" s="78"/>
      <c r="BZ181" s="78"/>
    </row>
    <row r="182" spans="1:78" s="94" customFormat="1" ht="22.15" customHeight="1" x14ac:dyDescent="0.2">
      <c r="A182" s="92"/>
      <c r="B182" s="169" t="s">
        <v>67</v>
      </c>
      <c r="C182" s="170"/>
      <c r="D182" s="170"/>
      <c r="E182" s="170"/>
      <c r="F182" s="170"/>
      <c r="G182" s="170"/>
      <c r="H182" s="170"/>
      <c r="I182" s="170"/>
      <c r="J182" s="170"/>
      <c r="K182" s="170"/>
      <c r="L182" s="170"/>
      <c r="M182" s="170"/>
      <c r="N182" s="170"/>
      <c r="O182" s="170"/>
      <c r="P182" s="170"/>
      <c r="Q182" s="170"/>
      <c r="R182" s="170"/>
      <c r="S182" s="170"/>
      <c r="T182" s="171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  <c r="AO182" s="93"/>
      <c r="AP182" s="93"/>
      <c r="AQ182" s="93"/>
      <c r="AR182" s="93"/>
      <c r="AS182" s="93"/>
      <c r="AT182" s="93"/>
      <c r="AU182" s="93"/>
      <c r="AV182" s="93"/>
      <c r="AW182" s="93"/>
      <c r="AX182" s="93"/>
      <c r="AY182" s="93"/>
      <c r="AZ182" s="93"/>
      <c r="BA182" s="93"/>
      <c r="BB182" s="93"/>
      <c r="BC182" s="93"/>
      <c r="BD182" s="93"/>
      <c r="BE182" s="93"/>
      <c r="BF182" s="93"/>
      <c r="BG182" s="93"/>
      <c r="BH182" s="93"/>
      <c r="BI182" s="93"/>
      <c r="BJ182" s="93"/>
      <c r="BK182" s="93"/>
      <c r="BL182" s="93"/>
      <c r="BM182" s="93"/>
      <c r="BN182" s="93"/>
      <c r="BO182" s="93"/>
      <c r="BP182" s="93"/>
      <c r="BQ182" s="93"/>
      <c r="BR182" s="93"/>
      <c r="BS182" s="93"/>
      <c r="BT182" s="93"/>
      <c r="BU182" s="93"/>
      <c r="BV182" s="93"/>
      <c r="BW182" s="93"/>
      <c r="BX182" s="93"/>
      <c r="BY182" s="93"/>
      <c r="BZ182" s="93"/>
    </row>
    <row r="183" spans="1:78" s="79" customFormat="1" ht="22.15" customHeight="1" x14ac:dyDescent="0.2">
      <c r="A183" s="95"/>
      <c r="B183" s="99" t="s">
        <v>72</v>
      </c>
      <c r="C183" s="97"/>
      <c r="D183" s="98">
        <v>3</v>
      </c>
      <c r="E183" s="52" t="str">
        <f>IF(B14="","",B14)</f>
        <v>APCL_02</v>
      </c>
      <c r="F183" s="55">
        <f>IF(D14="","",D14)</f>
        <v>5.000000000000001E-3</v>
      </c>
      <c r="G183" s="55" t="s">
        <v>37</v>
      </c>
      <c r="H183" s="52"/>
      <c r="I183" s="55"/>
      <c r="J183" s="55"/>
      <c r="K183" s="55"/>
      <c r="L183" s="55"/>
      <c r="M183" s="56"/>
      <c r="N183" s="56"/>
      <c r="O183" s="56"/>
      <c r="P183" s="56"/>
      <c r="Q183" s="56"/>
      <c r="R183" s="56"/>
      <c r="S183" s="12"/>
      <c r="T183" s="76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  <c r="AU183" s="78"/>
      <c r="AV183" s="78"/>
      <c r="AW183" s="78"/>
      <c r="AX183" s="78"/>
      <c r="AY183" s="78"/>
      <c r="AZ183" s="78"/>
      <c r="BA183" s="78"/>
      <c r="BB183" s="78"/>
      <c r="BC183" s="78"/>
      <c r="BD183" s="78"/>
      <c r="BE183" s="78"/>
      <c r="BF183" s="78"/>
      <c r="BG183" s="78"/>
      <c r="BH183" s="78"/>
      <c r="BI183" s="78"/>
      <c r="BJ183" s="78"/>
      <c r="BK183" s="78"/>
      <c r="BL183" s="78"/>
      <c r="BM183" s="78"/>
      <c r="BN183" s="78"/>
      <c r="BO183" s="78"/>
      <c r="BP183" s="78"/>
      <c r="BQ183" s="78"/>
      <c r="BR183" s="78"/>
      <c r="BS183" s="78"/>
      <c r="BT183" s="78"/>
      <c r="BU183" s="78"/>
      <c r="BV183" s="78"/>
      <c r="BW183" s="78"/>
      <c r="BX183" s="78"/>
      <c r="BY183" s="78"/>
      <c r="BZ183" s="78"/>
    </row>
    <row r="184" spans="1:78" s="79" customFormat="1" ht="22.15" customHeight="1" x14ac:dyDescent="0.2">
      <c r="A184" s="95"/>
      <c r="B184" s="99" t="s">
        <v>73</v>
      </c>
      <c r="C184" s="97"/>
      <c r="D184" s="98">
        <v>4</v>
      </c>
      <c r="E184" s="52" t="str">
        <f>IF(B15="","",B15)</f>
        <v>APCL_03</v>
      </c>
      <c r="F184" s="55" t="str">
        <f>IF(D15="","",D15)</f>
        <v/>
      </c>
      <c r="G184" s="17"/>
      <c r="H184" s="73"/>
      <c r="I184" s="17"/>
      <c r="J184" s="55"/>
      <c r="K184" s="55"/>
      <c r="L184" s="55"/>
      <c r="M184" s="56"/>
      <c r="N184" s="56"/>
      <c r="O184" s="56"/>
      <c r="P184" s="56"/>
      <c r="Q184" s="56"/>
      <c r="R184" s="56"/>
      <c r="S184" s="12"/>
      <c r="T184" s="76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  <c r="AT184" s="78"/>
      <c r="AU184" s="78"/>
      <c r="AV184" s="78"/>
      <c r="AW184" s="78"/>
      <c r="AX184" s="78"/>
      <c r="AY184" s="78"/>
      <c r="AZ184" s="78"/>
      <c r="BA184" s="78"/>
      <c r="BB184" s="78"/>
      <c r="BC184" s="78"/>
      <c r="BD184" s="78"/>
      <c r="BE184" s="78"/>
      <c r="BF184" s="78"/>
      <c r="BG184" s="78"/>
      <c r="BH184" s="78"/>
      <c r="BI184" s="78"/>
      <c r="BJ184" s="78"/>
      <c r="BK184" s="78"/>
      <c r="BL184" s="78"/>
      <c r="BM184" s="78"/>
      <c r="BN184" s="78"/>
      <c r="BO184" s="78"/>
      <c r="BP184" s="78"/>
      <c r="BQ184" s="78"/>
      <c r="BR184" s="78"/>
      <c r="BS184" s="78"/>
      <c r="BT184" s="78"/>
      <c r="BU184" s="78"/>
      <c r="BV184" s="78"/>
      <c r="BW184" s="78"/>
      <c r="BX184" s="78"/>
      <c r="BY184" s="78"/>
      <c r="BZ184" s="78"/>
    </row>
    <row r="185" spans="1:78" s="79" customFormat="1" ht="22.15" customHeight="1" x14ac:dyDescent="0.2">
      <c r="A185" s="95"/>
      <c r="B185" s="99" t="s">
        <v>74</v>
      </c>
      <c r="C185" s="97"/>
      <c r="D185" s="98">
        <v>3</v>
      </c>
      <c r="E185" s="52" t="str">
        <f>IF(B15="","",B15)</f>
        <v>APCL_03</v>
      </c>
      <c r="F185" s="55" t="str">
        <f>IF(D15="","",D15)</f>
        <v/>
      </c>
      <c r="G185" s="55" t="s">
        <v>37</v>
      </c>
      <c r="H185" s="52"/>
      <c r="I185" s="55"/>
      <c r="J185" s="55"/>
      <c r="K185" s="55"/>
      <c r="L185" s="55"/>
      <c r="M185" s="56"/>
      <c r="N185" s="56"/>
      <c r="O185" s="56"/>
      <c r="P185" s="56"/>
      <c r="Q185" s="56"/>
      <c r="R185" s="56"/>
      <c r="S185" s="12"/>
      <c r="T185" s="76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  <c r="AY185" s="78"/>
      <c r="AZ185" s="78"/>
      <c r="BA185" s="78"/>
      <c r="BB185" s="78"/>
      <c r="BC185" s="78"/>
      <c r="BD185" s="78"/>
      <c r="BE185" s="78"/>
      <c r="BF185" s="78"/>
      <c r="BG185" s="78"/>
      <c r="BH185" s="78"/>
      <c r="BI185" s="78"/>
      <c r="BJ185" s="78"/>
      <c r="BK185" s="78"/>
      <c r="BL185" s="78"/>
      <c r="BM185" s="78"/>
      <c r="BN185" s="78"/>
      <c r="BO185" s="78"/>
      <c r="BP185" s="78"/>
      <c r="BQ185" s="78"/>
      <c r="BR185" s="78"/>
      <c r="BS185" s="78"/>
      <c r="BT185" s="78"/>
      <c r="BU185" s="78"/>
      <c r="BV185" s="78"/>
      <c r="BW185" s="78"/>
      <c r="BX185" s="78"/>
      <c r="BY185" s="78"/>
      <c r="BZ185" s="78"/>
    </row>
    <row r="186" spans="1:78" s="79" customFormat="1" ht="22.15" customHeight="1" x14ac:dyDescent="0.2">
      <c r="A186" s="95"/>
      <c r="B186" s="99" t="s">
        <v>75</v>
      </c>
      <c r="C186" s="97"/>
      <c r="D186" s="98">
        <v>4</v>
      </c>
      <c r="E186" s="52" t="str">
        <f>IF(B14="","",B14)</f>
        <v>APCL_02</v>
      </c>
      <c r="F186" s="55">
        <f>IF(D14="","",D14)</f>
        <v>5.000000000000001E-3</v>
      </c>
      <c r="G186" s="17"/>
      <c r="H186" s="73"/>
      <c r="I186" s="17"/>
      <c r="J186" s="55"/>
      <c r="K186" s="55"/>
      <c r="L186" s="55"/>
      <c r="M186" s="56"/>
      <c r="N186" s="56"/>
      <c r="O186" s="56"/>
      <c r="P186" s="56"/>
      <c r="Q186" s="56"/>
      <c r="R186" s="56"/>
      <c r="S186" s="12"/>
      <c r="T186" s="76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  <c r="AU186" s="78"/>
      <c r="AV186" s="78"/>
      <c r="AW186" s="78"/>
      <c r="AX186" s="78"/>
      <c r="AY186" s="78"/>
      <c r="AZ186" s="78"/>
      <c r="BA186" s="78"/>
      <c r="BB186" s="78"/>
      <c r="BC186" s="78"/>
      <c r="BD186" s="78"/>
      <c r="BE186" s="78"/>
      <c r="BF186" s="78"/>
      <c r="BG186" s="78"/>
      <c r="BH186" s="78"/>
      <c r="BI186" s="78"/>
      <c r="BJ186" s="78"/>
      <c r="BK186" s="78"/>
      <c r="BL186" s="78"/>
      <c r="BM186" s="78"/>
      <c r="BN186" s="78"/>
      <c r="BO186" s="78"/>
      <c r="BP186" s="78"/>
      <c r="BQ186" s="78"/>
      <c r="BR186" s="78"/>
      <c r="BS186" s="78"/>
      <c r="BT186" s="78"/>
      <c r="BU186" s="78"/>
      <c r="BV186" s="78"/>
      <c r="BW186" s="78"/>
      <c r="BX186" s="78"/>
      <c r="BY186" s="78"/>
      <c r="BZ186" s="78"/>
    </row>
    <row r="187" spans="1:78" s="94" customFormat="1" ht="22.15" customHeight="1" x14ac:dyDescent="0.2">
      <c r="A187" s="92"/>
      <c r="B187" s="169" t="s">
        <v>68</v>
      </c>
      <c r="C187" s="170"/>
      <c r="D187" s="170"/>
      <c r="E187" s="170"/>
      <c r="F187" s="170"/>
      <c r="G187" s="170"/>
      <c r="H187" s="170"/>
      <c r="I187" s="170"/>
      <c r="J187" s="170"/>
      <c r="K187" s="170"/>
      <c r="L187" s="170"/>
      <c r="M187" s="170"/>
      <c r="N187" s="170"/>
      <c r="O187" s="170"/>
      <c r="P187" s="170"/>
      <c r="Q187" s="170"/>
      <c r="R187" s="170"/>
      <c r="S187" s="170"/>
      <c r="T187" s="171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  <c r="AO187" s="93"/>
      <c r="AP187" s="93"/>
      <c r="AQ187" s="93"/>
      <c r="AR187" s="93"/>
      <c r="AS187" s="93"/>
      <c r="AT187" s="93"/>
      <c r="AU187" s="93"/>
      <c r="AV187" s="93"/>
      <c r="AW187" s="93"/>
      <c r="AX187" s="93"/>
      <c r="AY187" s="93"/>
      <c r="AZ187" s="93"/>
      <c r="BA187" s="93"/>
      <c r="BB187" s="93"/>
      <c r="BC187" s="93"/>
      <c r="BD187" s="93"/>
      <c r="BE187" s="93"/>
      <c r="BF187" s="93"/>
      <c r="BG187" s="93"/>
      <c r="BH187" s="93"/>
      <c r="BI187" s="93"/>
      <c r="BJ187" s="93"/>
      <c r="BK187" s="93"/>
      <c r="BL187" s="93"/>
      <c r="BM187" s="93"/>
      <c r="BN187" s="93"/>
      <c r="BO187" s="93"/>
      <c r="BP187" s="93"/>
      <c r="BQ187" s="93"/>
      <c r="BR187" s="93"/>
      <c r="BS187" s="93"/>
      <c r="BT187" s="93"/>
      <c r="BU187" s="93"/>
      <c r="BV187" s="93"/>
      <c r="BW187" s="93"/>
      <c r="BX187" s="93"/>
      <c r="BY187" s="93"/>
      <c r="BZ187" s="93"/>
    </row>
    <row r="188" spans="1:78" s="79" customFormat="1" ht="22.15" customHeight="1" x14ac:dyDescent="0.2">
      <c r="A188" s="95"/>
      <c r="B188" s="99" t="s">
        <v>72</v>
      </c>
      <c r="C188" s="97"/>
      <c r="D188" s="98">
        <v>3</v>
      </c>
      <c r="E188" s="52" t="str">
        <f>IF(B14="","",B14)</f>
        <v>APCL_02</v>
      </c>
      <c r="F188" s="55">
        <f>IF(D14="","",D14)</f>
        <v>5.000000000000001E-3</v>
      </c>
      <c r="G188" s="55" t="s">
        <v>37</v>
      </c>
      <c r="H188" s="52"/>
      <c r="I188" s="55"/>
      <c r="J188" s="55"/>
      <c r="K188" s="55"/>
      <c r="L188" s="55"/>
      <c r="M188" s="56"/>
      <c r="N188" s="56"/>
      <c r="O188" s="56"/>
      <c r="P188" s="56"/>
      <c r="Q188" s="56"/>
      <c r="R188" s="56"/>
      <c r="S188" s="12"/>
      <c r="T188" s="76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  <c r="AY188" s="78"/>
      <c r="AZ188" s="78"/>
      <c r="BA188" s="78"/>
      <c r="BB188" s="78"/>
      <c r="BC188" s="78"/>
      <c r="BD188" s="78"/>
      <c r="BE188" s="78"/>
      <c r="BF188" s="78"/>
      <c r="BG188" s="78"/>
      <c r="BH188" s="78"/>
      <c r="BI188" s="78"/>
      <c r="BJ188" s="78"/>
      <c r="BK188" s="78"/>
      <c r="BL188" s="78"/>
      <c r="BM188" s="78"/>
      <c r="BN188" s="78"/>
      <c r="BO188" s="78"/>
      <c r="BP188" s="78"/>
      <c r="BQ188" s="78"/>
      <c r="BR188" s="78"/>
      <c r="BS188" s="78"/>
      <c r="BT188" s="78"/>
      <c r="BU188" s="78"/>
      <c r="BV188" s="78"/>
      <c r="BW188" s="78"/>
      <c r="BX188" s="78"/>
      <c r="BY188" s="78"/>
      <c r="BZ188" s="78"/>
    </row>
    <row r="189" spans="1:78" s="79" customFormat="1" ht="22.15" customHeight="1" x14ac:dyDescent="0.2">
      <c r="A189" s="95"/>
      <c r="B189" s="99" t="s">
        <v>73</v>
      </c>
      <c r="C189" s="97"/>
      <c r="D189" s="98">
        <v>4</v>
      </c>
      <c r="E189" s="52" t="str">
        <f>IF(B15="","",B15)</f>
        <v>APCL_03</v>
      </c>
      <c r="F189" s="55" t="str">
        <f>IF(D15="","",D15)</f>
        <v/>
      </c>
      <c r="G189" s="17"/>
      <c r="H189" s="73"/>
      <c r="I189" s="17"/>
      <c r="J189" s="55"/>
      <c r="K189" s="55"/>
      <c r="L189" s="55"/>
      <c r="M189" s="56"/>
      <c r="N189" s="56"/>
      <c r="O189" s="56"/>
      <c r="P189" s="56"/>
      <c r="Q189" s="56"/>
      <c r="R189" s="56"/>
      <c r="S189" s="12"/>
      <c r="T189" s="76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78"/>
      <c r="AU189" s="78"/>
      <c r="AV189" s="78"/>
      <c r="AW189" s="78"/>
      <c r="AX189" s="78"/>
      <c r="AY189" s="78"/>
      <c r="AZ189" s="78"/>
      <c r="BA189" s="78"/>
      <c r="BB189" s="78"/>
      <c r="BC189" s="78"/>
      <c r="BD189" s="78"/>
      <c r="BE189" s="78"/>
      <c r="BF189" s="78"/>
      <c r="BG189" s="78"/>
      <c r="BH189" s="78"/>
      <c r="BI189" s="78"/>
      <c r="BJ189" s="78"/>
      <c r="BK189" s="78"/>
      <c r="BL189" s="78"/>
      <c r="BM189" s="78"/>
      <c r="BN189" s="78"/>
      <c r="BO189" s="78"/>
      <c r="BP189" s="78"/>
      <c r="BQ189" s="78"/>
      <c r="BR189" s="78"/>
      <c r="BS189" s="78"/>
      <c r="BT189" s="78"/>
      <c r="BU189" s="78"/>
      <c r="BV189" s="78"/>
      <c r="BW189" s="78"/>
      <c r="BX189" s="78"/>
      <c r="BY189" s="78"/>
      <c r="BZ189" s="78"/>
    </row>
    <row r="190" spans="1:78" s="79" customFormat="1" ht="22.15" customHeight="1" x14ac:dyDescent="0.2">
      <c r="A190" s="95"/>
      <c r="B190" s="99" t="s">
        <v>74</v>
      </c>
      <c r="C190" s="97"/>
      <c r="D190" s="98">
        <v>3</v>
      </c>
      <c r="E190" s="52" t="str">
        <f>IF(B15="","",B15)</f>
        <v>APCL_03</v>
      </c>
      <c r="F190" s="55" t="str">
        <f>IF(D15="","",D15)</f>
        <v/>
      </c>
      <c r="G190" s="55" t="s">
        <v>37</v>
      </c>
      <c r="H190" s="52"/>
      <c r="I190" s="55"/>
      <c r="J190" s="55"/>
      <c r="K190" s="55"/>
      <c r="L190" s="55"/>
      <c r="M190" s="56"/>
      <c r="N190" s="56"/>
      <c r="O190" s="56"/>
      <c r="P190" s="56"/>
      <c r="Q190" s="56"/>
      <c r="R190" s="56"/>
      <c r="S190" s="12"/>
      <c r="T190" s="76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  <c r="AY190" s="78"/>
      <c r="AZ190" s="78"/>
      <c r="BA190" s="78"/>
      <c r="BB190" s="78"/>
      <c r="BC190" s="78"/>
      <c r="BD190" s="78"/>
      <c r="BE190" s="78"/>
      <c r="BF190" s="78"/>
      <c r="BG190" s="78"/>
      <c r="BH190" s="78"/>
      <c r="BI190" s="78"/>
      <c r="BJ190" s="78"/>
      <c r="BK190" s="78"/>
      <c r="BL190" s="78"/>
      <c r="BM190" s="78"/>
      <c r="BN190" s="78"/>
      <c r="BO190" s="78"/>
      <c r="BP190" s="78"/>
      <c r="BQ190" s="78"/>
      <c r="BR190" s="78"/>
      <c r="BS190" s="78"/>
      <c r="BT190" s="78"/>
      <c r="BU190" s="78"/>
      <c r="BV190" s="78"/>
      <c r="BW190" s="78"/>
      <c r="BX190" s="78"/>
      <c r="BY190" s="78"/>
      <c r="BZ190" s="78"/>
    </row>
    <row r="191" spans="1:78" s="79" customFormat="1" ht="22.15" customHeight="1" x14ac:dyDescent="0.2">
      <c r="A191" s="95"/>
      <c r="B191" s="99" t="s">
        <v>75</v>
      </c>
      <c r="C191" s="97"/>
      <c r="D191" s="98">
        <v>4</v>
      </c>
      <c r="E191" s="52" t="str">
        <f>IF(B14="","",B14)</f>
        <v>APCL_02</v>
      </c>
      <c r="F191" s="55">
        <f>IF(D14="","",D14)</f>
        <v>5.000000000000001E-3</v>
      </c>
      <c r="G191" s="17"/>
      <c r="H191" s="73"/>
      <c r="I191" s="17"/>
      <c r="J191" s="55"/>
      <c r="K191" s="55"/>
      <c r="L191" s="55"/>
      <c r="M191" s="56"/>
      <c r="N191" s="56"/>
      <c r="O191" s="56"/>
      <c r="P191" s="56"/>
      <c r="Q191" s="56"/>
      <c r="R191" s="56"/>
      <c r="S191" s="12"/>
      <c r="T191" s="76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78"/>
      <c r="AU191" s="78"/>
      <c r="AV191" s="78"/>
      <c r="AW191" s="78"/>
      <c r="AX191" s="78"/>
      <c r="AY191" s="78"/>
      <c r="AZ191" s="78"/>
      <c r="BA191" s="78"/>
      <c r="BB191" s="78"/>
      <c r="BC191" s="78"/>
      <c r="BD191" s="78"/>
      <c r="BE191" s="78"/>
      <c r="BF191" s="78"/>
      <c r="BG191" s="78"/>
      <c r="BH191" s="78"/>
      <c r="BI191" s="78"/>
      <c r="BJ191" s="78"/>
      <c r="BK191" s="78"/>
      <c r="BL191" s="78"/>
      <c r="BM191" s="78"/>
      <c r="BN191" s="78"/>
      <c r="BO191" s="78"/>
      <c r="BP191" s="78"/>
      <c r="BQ191" s="78"/>
      <c r="BR191" s="78"/>
      <c r="BS191" s="78"/>
      <c r="BT191" s="78"/>
      <c r="BU191" s="78"/>
      <c r="BV191" s="78"/>
      <c r="BW191" s="78"/>
      <c r="BX191" s="78"/>
      <c r="BY191" s="78"/>
      <c r="BZ191" s="78"/>
    </row>
    <row r="192" spans="1:78" s="90" customFormat="1" ht="12.75" x14ac:dyDescent="0.2">
      <c r="A192" s="34"/>
      <c r="B192" s="37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</row>
    <row r="193" spans="1:23" s="90" customFormat="1" ht="12.75" x14ac:dyDescent="0.2">
      <c r="A193" s="34"/>
      <c r="B193" s="37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</row>
    <row r="194" spans="1:23" s="90" customFormat="1" ht="12.75" x14ac:dyDescent="0.2">
      <c r="A194" s="34"/>
      <c r="B194" s="37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</row>
    <row r="195" spans="1:23" s="90" customFormat="1" ht="12.75" x14ac:dyDescent="0.2">
      <c r="A195" s="34"/>
      <c r="B195" s="37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</row>
    <row r="196" spans="1:23" s="90" customFormat="1" ht="12.75" x14ac:dyDescent="0.2">
      <c r="A196" s="34"/>
      <c r="B196" s="37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</row>
    <row r="197" spans="1:23" s="90" customFormat="1" ht="12.75" x14ac:dyDescent="0.2">
      <c r="A197" s="34"/>
      <c r="B197" s="37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</row>
    <row r="198" spans="1:23" s="90" customFormat="1" ht="12.75" x14ac:dyDescent="0.2">
      <c r="A198" s="34"/>
      <c r="B198" s="37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</row>
    <row r="199" spans="1:23" s="90" customFormat="1" ht="12.75" x14ac:dyDescent="0.2">
      <c r="A199" s="34"/>
      <c r="B199" s="37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</row>
    <row r="200" spans="1:23" s="90" customFormat="1" ht="12.75" x14ac:dyDescent="0.2">
      <c r="A200" s="34"/>
      <c r="B200" s="37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</row>
    <row r="201" spans="1:23" s="90" customFormat="1" ht="12.75" x14ac:dyDescent="0.2">
      <c r="A201" s="34"/>
      <c r="B201" s="37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</row>
    <row r="202" spans="1:23" s="90" customFormat="1" ht="12.75" x14ac:dyDescent="0.2">
      <c r="A202" s="34"/>
      <c r="B202" s="37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</row>
    <row r="203" spans="1:23" s="90" customFormat="1" ht="12.75" x14ac:dyDescent="0.2">
      <c r="A203" s="34"/>
      <c r="B203" s="37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</row>
    <row r="204" spans="1:23" s="90" customFormat="1" ht="12.75" x14ac:dyDescent="0.2">
      <c r="A204" s="34"/>
      <c r="B204" s="37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</row>
    <row r="205" spans="1:23" s="90" customFormat="1" ht="12.75" x14ac:dyDescent="0.2">
      <c r="A205" s="34"/>
      <c r="B205" s="37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</row>
    <row r="206" spans="1:23" s="90" customFormat="1" ht="12.75" x14ac:dyDescent="0.2">
      <c r="A206" s="34"/>
      <c r="B206" s="37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</row>
    <row r="207" spans="1:23" s="90" customFormat="1" ht="12.75" x14ac:dyDescent="0.2">
      <c r="A207" s="34"/>
      <c r="B207" s="37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</row>
    <row r="208" spans="1:23" s="90" customFormat="1" ht="12.75" x14ac:dyDescent="0.2">
      <c r="A208" s="34"/>
      <c r="B208" s="37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</row>
    <row r="209" spans="1:23" s="90" customFormat="1" ht="12.75" x14ac:dyDescent="0.2">
      <c r="A209" s="34"/>
      <c r="B209" s="37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</row>
    <row r="210" spans="1:23" s="90" customFormat="1" ht="12.75" x14ac:dyDescent="0.2">
      <c r="A210" s="34"/>
      <c r="B210" s="37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</row>
    <row r="211" spans="1:23" s="90" customFormat="1" ht="12.75" x14ac:dyDescent="0.2">
      <c r="A211" s="34"/>
      <c r="B211" s="37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</row>
    <row r="212" spans="1:23" s="90" customFormat="1" ht="12.75" x14ac:dyDescent="0.2">
      <c r="A212" s="34"/>
      <c r="B212" s="37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</row>
    <row r="213" spans="1:23" s="90" customFormat="1" ht="12.75" x14ac:dyDescent="0.2">
      <c r="A213" s="34"/>
      <c r="B213" s="37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</row>
    <row r="214" spans="1:23" s="90" customFormat="1" ht="12.75" x14ac:dyDescent="0.2">
      <c r="A214" s="34"/>
      <c r="B214" s="37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</row>
    <row r="215" spans="1:23" s="90" customFormat="1" ht="12.75" x14ac:dyDescent="0.2">
      <c r="A215" s="34"/>
      <c r="B215" s="37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</row>
    <row r="216" spans="1:23" s="90" customFormat="1" ht="12.75" x14ac:dyDescent="0.2">
      <c r="A216" s="34"/>
      <c r="B216" s="37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</row>
    <row r="217" spans="1:23" s="90" customFormat="1" ht="12.75" x14ac:dyDescent="0.2">
      <c r="A217" s="34"/>
      <c r="B217" s="37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</row>
    <row r="218" spans="1:23" s="90" customFormat="1" ht="12.75" x14ac:dyDescent="0.2">
      <c r="A218" s="34"/>
      <c r="B218" s="37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</row>
    <row r="219" spans="1:23" s="90" customFormat="1" ht="12.75" x14ac:dyDescent="0.2">
      <c r="A219" s="34"/>
      <c r="B219" s="37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</row>
    <row r="220" spans="1:23" s="90" customFormat="1" ht="12.75" x14ac:dyDescent="0.2">
      <c r="A220" s="34"/>
      <c r="B220" s="37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</row>
    <row r="221" spans="1:23" s="90" customFormat="1" ht="12.75" x14ac:dyDescent="0.2">
      <c r="A221" s="34"/>
      <c r="B221" s="37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</row>
    <row r="222" spans="1:23" s="90" customFormat="1" ht="12.75" x14ac:dyDescent="0.2">
      <c r="A222" s="34"/>
      <c r="B222" s="37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</row>
    <row r="223" spans="1:23" s="90" customFormat="1" ht="12.75" x14ac:dyDescent="0.2">
      <c r="A223" s="34"/>
      <c r="B223" s="37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</row>
    <row r="224" spans="1:23" s="90" customFormat="1" ht="12.75" x14ac:dyDescent="0.2">
      <c r="A224" s="34"/>
      <c r="B224" s="37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</row>
    <row r="225" spans="1:23" s="90" customFormat="1" ht="12.75" x14ac:dyDescent="0.2">
      <c r="A225" s="34"/>
      <c r="B225" s="37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</row>
    <row r="226" spans="1:23" s="31" customFormat="1" ht="12.75" x14ac:dyDescent="0.2">
      <c r="A226" s="34"/>
      <c r="B226" s="37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</row>
    <row r="227" spans="1:23" s="31" customFormat="1" ht="12.75" x14ac:dyDescent="0.2">
      <c r="A227" s="34"/>
      <c r="B227" s="37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</row>
    <row r="228" spans="1:23" s="31" customFormat="1" ht="12.75" x14ac:dyDescent="0.2">
      <c r="A228" s="34"/>
      <c r="B228" s="37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</row>
    <row r="229" spans="1:23" s="31" customFormat="1" ht="12.75" x14ac:dyDescent="0.2">
      <c r="A229" s="34"/>
      <c r="B229" s="37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</row>
    <row r="230" spans="1:23" s="31" customFormat="1" ht="12.75" x14ac:dyDescent="0.2">
      <c r="A230" s="34"/>
      <c r="B230" s="37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</row>
    <row r="231" spans="1:23" s="31" customFormat="1" ht="12.75" x14ac:dyDescent="0.2">
      <c r="A231" s="34"/>
      <c r="B231" s="37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</row>
    <row r="232" spans="1:23" s="31" customFormat="1" ht="12.75" x14ac:dyDescent="0.2">
      <c r="A232" s="34"/>
      <c r="B232" s="37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</row>
    <row r="233" spans="1:23" s="31" customFormat="1" ht="12.75" x14ac:dyDescent="0.2">
      <c r="A233" s="34"/>
      <c r="B233" s="37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</row>
    <row r="234" spans="1:23" s="31" customFormat="1" ht="12.75" x14ac:dyDescent="0.2">
      <c r="A234" s="34"/>
      <c r="B234" s="37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</row>
    <row r="235" spans="1:23" s="31" customFormat="1" ht="12.75" x14ac:dyDescent="0.2">
      <c r="A235" s="34"/>
      <c r="B235" s="37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</row>
    <row r="236" spans="1:23" s="31" customFormat="1" ht="12.75" x14ac:dyDescent="0.2">
      <c r="A236" s="34"/>
      <c r="B236" s="37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</row>
    <row r="237" spans="1:23" s="31" customFormat="1" ht="12.75" x14ac:dyDescent="0.2">
      <c r="A237" s="34"/>
      <c r="B237" s="37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</row>
    <row r="238" spans="1:23" s="31" customFormat="1" ht="12.75" x14ac:dyDescent="0.2">
      <c r="A238" s="34"/>
      <c r="B238" s="37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</row>
    <row r="239" spans="1:23" s="31" customFormat="1" ht="12.75" x14ac:dyDescent="0.2">
      <c r="A239" s="34"/>
      <c r="B239" s="37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</row>
    <row r="240" spans="1:23" s="31" customFormat="1" ht="12.75" x14ac:dyDescent="0.2">
      <c r="A240" s="34"/>
      <c r="B240" s="37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</row>
    <row r="241" spans="1:23" s="31" customFormat="1" ht="12.75" x14ac:dyDescent="0.2">
      <c r="A241" s="34"/>
      <c r="B241" s="37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</row>
    <row r="242" spans="1:23" s="31" customFormat="1" ht="12.75" x14ac:dyDescent="0.2">
      <c r="A242" s="34"/>
      <c r="B242" s="37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</row>
    <row r="243" spans="1:23" s="31" customFormat="1" ht="12.75" x14ac:dyDescent="0.2">
      <c r="A243" s="34"/>
      <c r="B243" s="37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</row>
    <row r="244" spans="1:23" s="31" customFormat="1" ht="12.75" x14ac:dyDescent="0.2">
      <c r="A244" s="34"/>
      <c r="B244" s="37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</row>
    <row r="245" spans="1:23" s="31" customFormat="1" ht="12.75" x14ac:dyDescent="0.2">
      <c r="A245" s="34"/>
      <c r="B245" s="37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</row>
    <row r="246" spans="1:23" s="31" customFormat="1" ht="12.75" x14ac:dyDescent="0.2">
      <c r="A246" s="34"/>
      <c r="B246" s="37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</row>
    <row r="247" spans="1:23" s="31" customFormat="1" ht="12.75" x14ac:dyDescent="0.2">
      <c r="A247" s="34"/>
      <c r="B247" s="37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</row>
    <row r="248" spans="1:23" s="31" customFormat="1" ht="12.75" x14ac:dyDescent="0.2">
      <c r="A248" s="34"/>
      <c r="B248" s="37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</row>
    <row r="249" spans="1:23" s="31" customFormat="1" ht="12.75" x14ac:dyDescent="0.2">
      <c r="A249" s="34"/>
      <c r="B249" s="37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</row>
    <row r="250" spans="1:23" s="31" customFormat="1" ht="12.75" x14ac:dyDescent="0.2">
      <c r="A250" s="34"/>
      <c r="B250" s="37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</row>
    <row r="251" spans="1:23" s="31" customFormat="1" ht="12.75" x14ac:dyDescent="0.2">
      <c r="A251" s="34"/>
      <c r="B251" s="37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</row>
    <row r="252" spans="1:23" s="31" customFormat="1" ht="12.75" x14ac:dyDescent="0.2">
      <c r="A252" s="34"/>
      <c r="B252" s="37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</row>
    <row r="253" spans="1:23" s="31" customFormat="1" ht="12.75" x14ac:dyDescent="0.2">
      <c r="A253" s="34"/>
      <c r="B253" s="37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</row>
    <row r="254" spans="1:23" s="31" customFormat="1" ht="12.75" x14ac:dyDescent="0.2">
      <c r="A254" s="34"/>
      <c r="B254" s="37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</row>
    <row r="255" spans="1:23" s="31" customFormat="1" ht="12.75" x14ac:dyDescent="0.2">
      <c r="A255" s="34"/>
      <c r="B255" s="37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</row>
    <row r="256" spans="1:23" s="31" customFormat="1" ht="12.75" x14ac:dyDescent="0.2">
      <c r="A256" s="34"/>
      <c r="B256" s="37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</row>
    <row r="257" spans="1:23" s="31" customFormat="1" ht="12.75" x14ac:dyDescent="0.2">
      <c r="A257" s="34"/>
      <c r="B257" s="37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</row>
    <row r="258" spans="1:23" s="31" customFormat="1" ht="12.75" x14ac:dyDescent="0.2">
      <c r="A258" s="34"/>
      <c r="B258" s="37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</row>
    <row r="259" spans="1:23" s="31" customFormat="1" ht="12.75" x14ac:dyDescent="0.2">
      <c r="A259" s="34"/>
      <c r="B259" s="37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</row>
    <row r="260" spans="1:23" s="31" customFormat="1" ht="12.75" x14ac:dyDescent="0.2">
      <c r="A260" s="34"/>
      <c r="B260" s="37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</row>
    <row r="261" spans="1:23" s="31" customFormat="1" ht="12.75" x14ac:dyDescent="0.2">
      <c r="A261" s="34"/>
      <c r="B261" s="37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</row>
    <row r="262" spans="1:23" s="31" customFormat="1" ht="12.75" x14ac:dyDescent="0.2">
      <c r="A262" s="34"/>
      <c r="B262" s="37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</row>
    <row r="263" spans="1:23" s="31" customFormat="1" ht="12.75" x14ac:dyDescent="0.2">
      <c r="A263" s="34"/>
      <c r="B263" s="37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</row>
    <row r="264" spans="1:23" s="31" customFormat="1" ht="12.75" x14ac:dyDescent="0.2">
      <c r="A264" s="34"/>
      <c r="B264" s="37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</row>
    <row r="265" spans="1:23" s="31" customFormat="1" ht="12.75" x14ac:dyDescent="0.2">
      <c r="A265" s="34"/>
      <c r="B265" s="37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</row>
    <row r="266" spans="1:23" s="31" customFormat="1" ht="12.75" x14ac:dyDescent="0.2">
      <c r="A266" s="34"/>
      <c r="B266" s="37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</row>
    <row r="267" spans="1:23" s="31" customFormat="1" ht="12.75" x14ac:dyDescent="0.2">
      <c r="A267" s="34"/>
      <c r="B267" s="37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</row>
    <row r="268" spans="1:23" s="31" customFormat="1" ht="12.75" x14ac:dyDescent="0.2">
      <c r="A268" s="34"/>
      <c r="B268" s="37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</row>
    <row r="269" spans="1:23" s="31" customFormat="1" ht="12.75" x14ac:dyDescent="0.2">
      <c r="A269" s="34"/>
      <c r="B269" s="37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</row>
    <row r="270" spans="1:23" s="31" customFormat="1" ht="12.75" x14ac:dyDescent="0.2">
      <c r="A270" s="34"/>
      <c r="B270" s="37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</row>
    <row r="271" spans="1:23" s="31" customFormat="1" ht="12.75" x14ac:dyDescent="0.2">
      <c r="A271" s="34"/>
      <c r="B271" s="37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</row>
    <row r="272" spans="1:23" s="31" customFormat="1" ht="12.75" x14ac:dyDescent="0.2">
      <c r="A272" s="34"/>
      <c r="B272" s="37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</row>
    <row r="273" spans="1:23" s="31" customFormat="1" ht="12.75" x14ac:dyDescent="0.2">
      <c r="A273" s="34"/>
      <c r="B273" s="37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</row>
    <row r="274" spans="1:23" s="31" customFormat="1" ht="12.75" x14ac:dyDescent="0.2">
      <c r="A274" s="34"/>
      <c r="B274" s="37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</row>
    <row r="275" spans="1:23" s="31" customFormat="1" ht="12.75" x14ac:dyDescent="0.2">
      <c r="A275" s="34"/>
      <c r="B275" s="37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</row>
    <row r="276" spans="1:23" s="31" customFormat="1" ht="12.75" x14ac:dyDescent="0.2">
      <c r="A276" s="34"/>
      <c r="B276" s="37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</row>
    <row r="277" spans="1:23" s="31" customFormat="1" ht="12.75" x14ac:dyDescent="0.2">
      <c r="A277" s="34"/>
      <c r="B277" s="37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</row>
    <row r="278" spans="1:23" s="31" customFormat="1" ht="12.75" x14ac:dyDescent="0.2">
      <c r="A278" s="34"/>
      <c r="B278" s="37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</row>
    <row r="279" spans="1:23" s="31" customFormat="1" ht="12.75" x14ac:dyDescent="0.2">
      <c r="A279" s="34"/>
      <c r="B279" s="37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</row>
    <row r="280" spans="1:23" s="31" customFormat="1" ht="12.75" x14ac:dyDescent="0.2">
      <c r="A280" s="34"/>
      <c r="B280" s="37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</row>
    <row r="281" spans="1:23" s="31" customFormat="1" ht="12.75" x14ac:dyDescent="0.2">
      <c r="A281" s="34"/>
      <c r="B281" s="37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</row>
    <row r="282" spans="1:23" s="31" customFormat="1" ht="12.75" x14ac:dyDescent="0.2">
      <c r="A282" s="34"/>
      <c r="B282" s="37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</row>
    <row r="283" spans="1:23" s="31" customFormat="1" ht="12.75" x14ac:dyDescent="0.2">
      <c r="A283" s="34"/>
      <c r="B283" s="37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</row>
    <row r="284" spans="1:23" s="31" customFormat="1" ht="12.75" x14ac:dyDescent="0.2">
      <c r="A284" s="34"/>
      <c r="B284" s="37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</row>
    <row r="285" spans="1:23" s="31" customFormat="1" ht="12.75" x14ac:dyDescent="0.2">
      <c r="A285" s="34"/>
      <c r="B285" s="37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</row>
    <row r="286" spans="1:23" s="31" customFormat="1" ht="12.75" x14ac:dyDescent="0.2">
      <c r="A286" s="34"/>
      <c r="B286" s="37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</row>
    <row r="287" spans="1:23" s="31" customFormat="1" ht="12.75" x14ac:dyDescent="0.2">
      <c r="A287" s="34"/>
      <c r="B287" s="37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</row>
    <row r="288" spans="1:23" s="31" customFormat="1" ht="12.75" x14ac:dyDescent="0.2">
      <c r="A288" s="34"/>
      <c r="B288" s="37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</row>
    <row r="289" spans="1:23" s="31" customFormat="1" ht="12.75" x14ac:dyDescent="0.2">
      <c r="A289" s="34"/>
      <c r="B289" s="37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</row>
    <row r="290" spans="1:23" s="31" customFormat="1" ht="12.75" x14ac:dyDescent="0.2">
      <c r="A290" s="34"/>
      <c r="B290" s="37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</row>
    <row r="291" spans="1:23" s="31" customFormat="1" ht="12.75" x14ac:dyDescent="0.2">
      <c r="A291" s="34"/>
      <c r="B291" s="37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</row>
    <row r="292" spans="1:23" s="31" customFormat="1" ht="12.75" x14ac:dyDescent="0.2">
      <c r="A292" s="34"/>
      <c r="B292" s="37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</row>
    <row r="293" spans="1:23" s="31" customFormat="1" ht="12.75" x14ac:dyDescent="0.2">
      <c r="A293" s="34"/>
      <c r="B293" s="37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</row>
    <row r="294" spans="1:23" s="31" customFormat="1" ht="12.75" x14ac:dyDescent="0.2">
      <c r="A294" s="34"/>
      <c r="B294" s="37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</row>
    <row r="295" spans="1:23" s="31" customFormat="1" ht="12.75" x14ac:dyDescent="0.2">
      <c r="A295" s="34"/>
      <c r="B295" s="37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</row>
    <row r="296" spans="1:23" s="31" customFormat="1" ht="12.75" x14ac:dyDescent="0.2">
      <c r="A296" s="34"/>
      <c r="B296" s="37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</row>
    <row r="297" spans="1:23" s="31" customFormat="1" ht="12.75" x14ac:dyDescent="0.2">
      <c r="A297" s="34"/>
      <c r="B297" s="37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</row>
    <row r="298" spans="1:23" s="31" customFormat="1" ht="12.75" x14ac:dyDescent="0.2">
      <c r="A298" s="34"/>
      <c r="B298" s="37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</row>
    <row r="299" spans="1:23" s="31" customFormat="1" ht="12.75" x14ac:dyDescent="0.2">
      <c r="A299" s="34"/>
      <c r="B299" s="37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</row>
    <row r="300" spans="1:23" s="31" customFormat="1" ht="12.75" x14ac:dyDescent="0.2">
      <c r="A300" s="34"/>
      <c r="B300" s="37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</row>
    <row r="301" spans="1:23" s="31" customFormat="1" ht="12.75" x14ac:dyDescent="0.2">
      <c r="A301" s="34"/>
      <c r="B301" s="37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</row>
    <row r="302" spans="1:23" s="31" customFormat="1" ht="12.75" x14ac:dyDescent="0.2">
      <c r="A302" s="34"/>
      <c r="B302" s="37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</row>
    <row r="303" spans="1:23" s="31" customFormat="1" ht="12.75" x14ac:dyDescent="0.2">
      <c r="A303" s="34"/>
      <c r="B303" s="37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</row>
    <row r="304" spans="1:23" s="31" customFormat="1" ht="12.75" x14ac:dyDescent="0.2">
      <c r="A304" s="34"/>
      <c r="B304" s="37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</row>
    <row r="305" spans="1:23" s="31" customFormat="1" ht="12.75" x14ac:dyDescent="0.2">
      <c r="A305" s="34"/>
      <c r="B305" s="37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</row>
    <row r="306" spans="1:23" s="31" customFormat="1" ht="12.75" x14ac:dyDescent="0.2">
      <c r="A306" s="34"/>
      <c r="B306" s="37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</row>
    <row r="307" spans="1:23" s="31" customFormat="1" ht="12.75" x14ac:dyDescent="0.2">
      <c r="A307" s="34"/>
      <c r="B307" s="37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</row>
    <row r="308" spans="1:23" s="31" customFormat="1" ht="12.75" x14ac:dyDescent="0.2">
      <c r="A308" s="34"/>
      <c r="B308" s="37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</row>
    <row r="309" spans="1:23" s="31" customFormat="1" ht="12.75" x14ac:dyDescent="0.2">
      <c r="A309" s="34"/>
      <c r="B309" s="37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</row>
    <row r="310" spans="1:23" s="31" customFormat="1" ht="12.75" x14ac:dyDescent="0.2">
      <c r="A310" s="34"/>
      <c r="B310" s="37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</row>
    <row r="311" spans="1:23" s="31" customFormat="1" ht="12.75" x14ac:dyDescent="0.2">
      <c r="A311" s="34"/>
      <c r="B311" s="37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</row>
    <row r="312" spans="1:23" s="31" customFormat="1" ht="12.75" x14ac:dyDescent="0.2">
      <c r="A312" s="34"/>
      <c r="B312" s="37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</row>
    <row r="313" spans="1:23" s="31" customFormat="1" ht="12.75" x14ac:dyDescent="0.2">
      <c r="A313" s="34"/>
      <c r="B313" s="37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</row>
    <row r="314" spans="1:23" s="31" customFormat="1" ht="12.75" x14ac:dyDescent="0.2">
      <c r="A314" s="34"/>
      <c r="B314" s="37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</row>
    <row r="315" spans="1:23" s="31" customFormat="1" ht="12.75" x14ac:dyDescent="0.2">
      <c r="A315" s="34"/>
      <c r="B315" s="37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</row>
    <row r="316" spans="1:23" s="31" customFormat="1" ht="12.75" x14ac:dyDescent="0.2">
      <c r="A316" s="34"/>
      <c r="B316" s="37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</row>
    <row r="317" spans="1:23" s="31" customFormat="1" ht="12.75" x14ac:dyDescent="0.2">
      <c r="A317" s="34"/>
      <c r="B317" s="37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</row>
    <row r="318" spans="1:23" s="31" customFormat="1" ht="12.75" x14ac:dyDescent="0.2">
      <c r="A318" s="34"/>
      <c r="B318" s="37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</row>
    <row r="319" spans="1:23" s="31" customFormat="1" ht="12.75" x14ac:dyDescent="0.2">
      <c r="A319" s="34"/>
      <c r="B319" s="37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</row>
    <row r="320" spans="1:23" s="31" customFormat="1" ht="12.75" x14ac:dyDescent="0.2">
      <c r="A320" s="34"/>
      <c r="B320" s="37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</row>
    <row r="321" spans="1:23" s="31" customFormat="1" ht="12.75" x14ac:dyDescent="0.2">
      <c r="A321" s="34"/>
      <c r="B321" s="37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</row>
    <row r="322" spans="1:23" s="31" customFormat="1" ht="12.75" x14ac:dyDescent="0.2">
      <c r="A322" s="34"/>
      <c r="B322" s="37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</row>
    <row r="323" spans="1:23" s="31" customFormat="1" ht="12.75" x14ac:dyDescent="0.2">
      <c r="A323" s="34"/>
      <c r="B323" s="37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</row>
    <row r="324" spans="1:23" s="31" customFormat="1" ht="12.75" x14ac:dyDescent="0.2">
      <c r="A324" s="34"/>
      <c r="B324" s="37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</row>
    <row r="325" spans="1:23" s="31" customFormat="1" ht="12.75" x14ac:dyDescent="0.2">
      <c r="A325" s="34"/>
      <c r="B325" s="37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</row>
    <row r="326" spans="1:23" s="31" customFormat="1" ht="12.75" x14ac:dyDescent="0.2">
      <c r="A326" s="34"/>
      <c r="B326" s="37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</row>
    <row r="327" spans="1:23" s="31" customFormat="1" ht="12.75" x14ac:dyDescent="0.2">
      <c r="A327" s="34"/>
      <c r="B327" s="37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</row>
    <row r="328" spans="1:23" s="31" customFormat="1" ht="12.75" x14ac:dyDescent="0.2">
      <c r="A328" s="34"/>
      <c r="B328" s="37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</row>
    <row r="329" spans="1:23" s="31" customFormat="1" ht="12.75" x14ac:dyDescent="0.2">
      <c r="A329" s="34"/>
      <c r="B329" s="37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</row>
    <row r="330" spans="1:23" s="31" customFormat="1" ht="12.75" x14ac:dyDescent="0.2">
      <c r="A330" s="34"/>
      <c r="B330" s="37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</row>
    <row r="331" spans="1:23" s="31" customFormat="1" ht="12.75" x14ac:dyDescent="0.2">
      <c r="A331" s="34"/>
      <c r="B331" s="37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</row>
    <row r="332" spans="1:23" s="31" customFormat="1" ht="12.75" x14ac:dyDescent="0.2">
      <c r="A332" s="34"/>
      <c r="B332" s="37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</row>
    <row r="333" spans="1:23" s="31" customFormat="1" ht="12.75" x14ac:dyDescent="0.2">
      <c r="A333" s="34"/>
      <c r="B333" s="37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</row>
    <row r="334" spans="1:23" s="31" customFormat="1" ht="12.75" x14ac:dyDescent="0.2">
      <c r="A334" s="34"/>
      <c r="B334" s="37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</row>
    <row r="335" spans="1:23" s="31" customFormat="1" ht="12.75" x14ac:dyDescent="0.2">
      <c r="A335" s="34"/>
      <c r="B335" s="37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</row>
    <row r="336" spans="1:23" s="31" customFormat="1" ht="12.75" x14ac:dyDescent="0.2">
      <c r="A336" s="34"/>
      <c r="B336" s="37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</row>
    <row r="337" spans="1:23" s="31" customFormat="1" ht="12.75" x14ac:dyDescent="0.2">
      <c r="A337" s="34"/>
      <c r="B337" s="37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</row>
    <row r="338" spans="1:23" s="31" customFormat="1" ht="12.75" x14ac:dyDescent="0.2">
      <c r="A338" s="34"/>
      <c r="B338" s="37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</row>
    <row r="339" spans="1:23" s="31" customFormat="1" ht="12.75" x14ac:dyDescent="0.2">
      <c r="A339" s="34"/>
      <c r="B339" s="37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</row>
    <row r="340" spans="1:23" s="31" customFormat="1" ht="12.75" x14ac:dyDescent="0.2">
      <c r="A340" s="34"/>
      <c r="B340" s="37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</row>
    <row r="341" spans="1:23" s="31" customFormat="1" ht="12.75" x14ac:dyDescent="0.2">
      <c r="A341" s="34"/>
      <c r="B341" s="37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</row>
    <row r="342" spans="1:23" s="31" customFormat="1" ht="12.75" x14ac:dyDescent="0.2">
      <c r="A342" s="34"/>
      <c r="B342" s="37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</row>
    <row r="343" spans="1:23" s="31" customFormat="1" ht="12.75" x14ac:dyDescent="0.2">
      <c r="A343" s="34"/>
      <c r="B343" s="37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</row>
    <row r="344" spans="1:23" s="31" customFormat="1" ht="12.75" x14ac:dyDescent="0.2">
      <c r="A344" s="34"/>
      <c r="B344" s="37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</row>
    <row r="345" spans="1:23" s="31" customFormat="1" ht="12.75" x14ac:dyDescent="0.2">
      <c r="A345" s="34"/>
      <c r="B345" s="37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</row>
    <row r="346" spans="1:23" s="31" customFormat="1" ht="12.75" x14ac:dyDescent="0.2">
      <c r="A346" s="34"/>
      <c r="B346" s="37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</row>
    <row r="347" spans="1:23" s="31" customFormat="1" ht="12.75" x14ac:dyDescent="0.2">
      <c r="A347" s="34"/>
      <c r="B347" s="37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</row>
    <row r="348" spans="1:23" s="31" customFormat="1" ht="12.75" x14ac:dyDescent="0.2">
      <c r="A348" s="34"/>
      <c r="B348" s="37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</row>
    <row r="349" spans="1:23" s="31" customFormat="1" ht="12.75" x14ac:dyDescent="0.2">
      <c r="A349" s="34"/>
      <c r="B349" s="37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</row>
    <row r="350" spans="1:23" s="31" customFormat="1" ht="12.75" x14ac:dyDescent="0.2">
      <c r="A350" s="34"/>
      <c r="B350" s="37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</row>
    <row r="351" spans="1:23" s="31" customFormat="1" ht="12.75" x14ac:dyDescent="0.2">
      <c r="A351" s="34"/>
      <c r="B351" s="37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</row>
    <row r="352" spans="1:23" s="31" customFormat="1" ht="12.75" x14ac:dyDescent="0.2">
      <c r="A352" s="34"/>
      <c r="B352" s="37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</row>
    <row r="353" spans="1:23" s="31" customFormat="1" ht="12.75" x14ac:dyDescent="0.2">
      <c r="A353" s="34"/>
      <c r="B353" s="37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</row>
    <row r="354" spans="1:23" s="31" customFormat="1" ht="12.75" x14ac:dyDescent="0.2">
      <c r="A354" s="34"/>
      <c r="B354" s="37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</row>
    <row r="355" spans="1:23" s="31" customFormat="1" ht="12.75" x14ac:dyDescent="0.2">
      <c r="A355" s="34"/>
      <c r="B355" s="37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</row>
    <row r="356" spans="1:23" s="31" customFormat="1" ht="12.75" x14ac:dyDescent="0.2">
      <c r="A356" s="34"/>
      <c r="B356" s="37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</row>
    <row r="357" spans="1:23" s="31" customFormat="1" ht="12.75" x14ac:dyDescent="0.2">
      <c r="A357" s="34"/>
      <c r="B357" s="37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</row>
    <row r="358" spans="1:23" s="31" customFormat="1" ht="12.75" x14ac:dyDescent="0.2">
      <c r="A358" s="34"/>
      <c r="B358" s="37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</row>
    <row r="359" spans="1:23" s="31" customFormat="1" ht="12.75" x14ac:dyDescent="0.2">
      <c r="A359" s="34"/>
      <c r="B359" s="37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</row>
    <row r="360" spans="1:23" s="31" customFormat="1" ht="12.75" x14ac:dyDescent="0.2">
      <c r="A360" s="34"/>
      <c r="B360" s="37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</row>
    <row r="361" spans="1:23" s="31" customFormat="1" ht="12.75" x14ac:dyDescent="0.2">
      <c r="A361" s="34"/>
      <c r="B361" s="37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</row>
    <row r="362" spans="1:23" s="31" customFormat="1" ht="12.75" x14ac:dyDescent="0.2">
      <c r="A362" s="34"/>
      <c r="B362" s="37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</row>
    <row r="363" spans="1:23" s="31" customFormat="1" ht="12.75" x14ac:dyDescent="0.2">
      <c r="A363" s="34"/>
      <c r="B363" s="37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</row>
    <row r="364" spans="1:23" s="31" customFormat="1" ht="12.75" x14ac:dyDescent="0.2">
      <c r="A364" s="34"/>
      <c r="B364" s="37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</row>
    <row r="365" spans="1:23" s="31" customFormat="1" ht="12.75" x14ac:dyDescent="0.2">
      <c r="A365" s="34"/>
      <c r="B365" s="37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</row>
    <row r="366" spans="1:23" s="31" customFormat="1" ht="12.75" x14ac:dyDescent="0.2">
      <c r="A366" s="34"/>
      <c r="B366" s="37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</row>
    <row r="367" spans="1:23" s="31" customFormat="1" ht="12.75" x14ac:dyDescent="0.2">
      <c r="A367" s="34"/>
      <c r="B367" s="37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</row>
    <row r="368" spans="1:23" s="31" customFormat="1" ht="12.75" x14ac:dyDescent="0.2">
      <c r="A368" s="34"/>
      <c r="B368" s="37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</row>
    <row r="369" spans="1:23" s="31" customFormat="1" ht="12.75" x14ac:dyDescent="0.2">
      <c r="A369" s="34"/>
      <c r="B369" s="37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</row>
    <row r="370" spans="1:23" s="31" customFormat="1" ht="12.75" x14ac:dyDescent="0.2">
      <c r="A370" s="34"/>
      <c r="B370" s="37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</row>
    <row r="371" spans="1:23" s="31" customFormat="1" ht="12.75" x14ac:dyDescent="0.2">
      <c r="A371" s="34"/>
      <c r="B371" s="37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</row>
    <row r="372" spans="1:23" s="31" customFormat="1" ht="12.75" x14ac:dyDescent="0.2">
      <c r="A372" s="34"/>
      <c r="B372" s="37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</row>
    <row r="373" spans="1:23" s="31" customFormat="1" ht="12.75" x14ac:dyDescent="0.2">
      <c r="A373" s="34"/>
      <c r="B373" s="37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</row>
    <row r="374" spans="1:23" s="31" customFormat="1" ht="12.75" x14ac:dyDescent="0.2">
      <c r="A374" s="34"/>
      <c r="B374" s="37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</row>
    <row r="375" spans="1:23" s="31" customFormat="1" ht="12.75" x14ac:dyDescent="0.2">
      <c r="A375" s="34"/>
      <c r="B375" s="37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</row>
    <row r="376" spans="1:23" s="31" customFormat="1" ht="12.75" x14ac:dyDescent="0.2">
      <c r="A376" s="34"/>
      <c r="B376" s="37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</row>
    <row r="377" spans="1:23" s="31" customFormat="1" ht="12.75" x14ac:dyDescent="0.2">
      <c r="A377" s="34"/>
      <c r="B377" s="37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</row>
    <row r="378" spans="1:23" s="31" customFormat="1" ht="12.75" x14ac:dyDescent="0.2">
      <c r="A378" s="34"/>
      <c r="B378" s="37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</row>
    <row r="379" spans="1:23" s="31" customFormat="1" ht="12.75" x14ac:dyDescent="0.2">
      <c r="A379" s="34"/>
      <c r="B379" s="37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</row>
    <row r="380" spans="1:23" s="31" customFormat="1" ht="12.75" x14ac:dyDescent="0.2">
      <c r="A380" s="34"/>
      <c r="B380" s="37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</row>
    <row r="381" spans="1:23" s="31" customFormat="1" ht="12.75" x14ac:dyDescent="0.2">
      <c r="A381" s="34"/>
      <c r="B381" s="37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</row>
    <row r="382" spans="1:23" s="31" customFormat="1" ht="12.75" x14ac:dyDescent="0.2">
      <c r="A382" s="34"/>
      <c r="B382" s="37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</row>
    <row r="383" spans="1:23" s="31" customFormat="1" ht="12.75" x14ac:dyDescent="0.2">
      <c r="A383" s="34"/>
      <c r="B383" s="37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</row>
    <row r="384" spans="1:23" s="31" customFormat="1" ht="12.75" x14ac:dyDescent="0.2">
      <c r="A384" s="34"/>
      <c r="B384" s="37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</row>
    <row r="385" spans="1:23" s="31" customFormat="1" ht="12.75" x14ac:dyDescent="0.2">
      <c r="A385" s="34"/>
      <c r="B385" s="37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</row>
    <row r="386" spans="1:23" s="31" customFormat="1" ht="12.75" x14ac:dyDescent="0.2">
      <c r="A386" s="34"/>
      <c r="B386" s="37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</row>
    <row r="387" spans="1:23" s="31" customFormat="1" ht="12.75" x14ac:dyDescent="0.2">
      <c r="A387" s="34"/>
      <c r="B387" s="37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</row>
    <row r="388" spans="1:23" s="31" customFormat="1" ht="12.75" x14ac:dyDescent="0.2">
      <c r="A388" s="34"/>
      <c r="B388" s="37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</row>
    <row r="389" spans="1:23" s="31" customFormat="1" ht="12.75" x14ac:dyDescent="0.2">
      <c r="A389" s="34"/>
      <c r="B389" s="37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</row>
    <row r="390" spans="1:23" s="31" customFormat="1" ht="12.75" x14ac:dyDescent="0.2">
      <c r="A390" s="34"/>
      <c r="B390" s="37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</row>
    <row r="391" spans="1:23" s="31" customFormat="1" ht="12.75" x14ac:dyDescent="0.2">
      <c r="A391" s="34"/>
      <c r="B391" s="37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</row>
    <row r="392" spans="1:23" s="31" customFormat="1" ht="12.75" x14ac:dyDescent="0.2">
      <c r="A392" s="34"/>
      <c r="B392" s="37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</row>
    <row r="393" spans="1:23" s="31" customFormat="1" ht="12.75" x14ac:dyDescent="0.2">
      <c r="A393" s="34"/>
      <c r="B393" s="37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</row>
    <row r="394" spans="1:23" s="31" customFormat="1" ht="12.75" x14ac:dyDescent="0.2">
      <c r="A394" s="34"/>
      <c r="B394" s="37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</row>
    <row r="395" spans="1:23" s="31" customFormat="1" ht="12.75" x14ac:dyDescent="0.2">
      <c r="A395" s="34"/>
      <c r="B395" s="37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</row>
    <row r="396" spans="1:23" s="31" customFormat="1" ht="12.75" x14ac:dyDescent="0.2">
      <c r="A396" s="34"/>
      <c r="B396" s="37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</row>
    <row r="397" spans="1:23" s="31" customFormat="1" ht="12.75" x14ac:dyDescent="0.2">
      <c r="A397" s="34"/>
      <c r="B397" s="37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</row>
    <row r="398" spans="1:23" s="31" customFormat="1" ht="12.75" x14ac:dyDescent="0.2">
      <c r="A398" s="34"/>
      <c r="B398" s="37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</row>
    <row r="399" spans="1:23" s="31" customFormat="1" ht="12.75" x14ac:dyDescent="0.2">
      <c r="A399" s="34"/>
      <c r="B399" s="37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</row>
    <row r="400" spans="1:23" s="31" customFormat="1" ht="12.75" x14ac:dyDescent="0.2">
      <c r="A400" s="34"/>
      <c r="B400" s="37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</row>
    <row r="401" spans="1:23" s="31" customFormat="1" ht="12.75" x14ac:dyDescent="0.2">
      <c r="A401" s="34"/>
      <c r="B401" s="37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</row>
    <row r="402" spans="1:23" s="31" customFormat="1" ht="12.75" x14ac:dyDescent="0.2">
      <c r="A402" s="34"/>
      <c r="B402" s="37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</row>
    <row r="403" spans="1:23" s="31" customFormat="1" ht="12.75" x14ac:dyDescent="0.2">
      <c r="A403" s="34"/>
      <c r="B403" s="37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</row>
    <row r="404" spans="1:23" s="31" customFormat="1" ht="12.75" x14ac:dyDescent="0.2">
      <c r="A404" s="34"/>
      <c r="B404" s="37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</row>
    <row r="405" spans="1:23" s="31" customFormat="1" ht="12.75" x14ac:dyDescent="0.2">
      <c r="A405" s="34"/>
      <c r="B405" s="37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</row>
    <row r="406" spans="1:23" s="31" customFormat="1" ht="12.75" x14ac:dyDescent="0.2">
      <c r="A406" s="34"/>
      <c r="B406" s="37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</row>
    <row r="407" spans="1:23" s="31" customFormat="1" ht="12.75" x14ac:dyDescent="0.2">
      <c r="A407" s="34"/>
      <c r="B407" s="37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</row>
    <row r="408" spans="1:23" s="31" customFormat="1" ht="12.75" x14ac:dyDescent="0.2">
      <c r="A408" s="34"/>
      <c r="B408" s="37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</row>
    <row r="409" spans="1:23" s="31" customFormat="1" ht="12.75" x14ac:dyDescent="0.2">
      <c r="A409" s="34"/>
      <c r="B409" s="37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</row>
    <row r="410" spans="1:23" s="31" customFormat="1" ht="12.75" x14ac:dyDescent="0.2">
      <c r="A410" s="34"/>
      <c r="B410" s="37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</row>
    <row r="411" spans="1:23" s="31" customFormat="1" ht="12.75" x14ac:dyDescent="0.2">
      <c r="A411" s="34"/>
      <c r="B411" s="37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</row>
    <row r="412" spans="1:23" s="31" customFormat="1" ht="12.75" x14ac:dyDescent="0.2">
      <c r="A412" s="34"/>
      <c r="B412" s="37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</row>
    <row r="413" spans="1:23" s="31" customFormat="1" ht="12.75" x14ac:dyDescent="0.2">
      <c r="A413" s="34"/>
      <c r="B413" s="37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</row>
    <row r="414" spans="1:23" s="31" customFormat="1" ht="12.75" x14ac:dyDescent="0.2">
      <c r="A414" s="34"/>
      <c r="B414" s="37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</row>
    <row r="415" spans="1:23" s="31" customFormat="1" ht="12.75" x14ac:dyDescent="0.2">
      <c r="A415" s="34"/>
      <c r="B415" s="37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</row>
    <row r="416" spans="1:23" s="31" customFormat="1" ht="12.75" x14ac:dyDescent="0.2">
      <c r="A416" s="34"/>
      <c r="B416" s="37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</row>
    <row r="417" spans="1:23" s="31" customFormat="1" ht="12.75" x14ac:dyDescent="0.2">
      <c r="A417" s="34"/>
      <c r="B417" s="37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</row>
    <row r="418" spans="1:23" s="31" customFormat="1" ht="12.75" x14ac:dyDescent="0.2">
      <c r="A418" s="34"/>
      <c r="B418" s="37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</row>
    <row r="419" spans="1:23" s="31" customFormat="1" ht="12.75" x14ac:dyDescent="0.2">
      <c r="A419" s="34"/>
      <c r="B419" s="37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</row>
    <row r="420" spans="1:23" s="31" customFormat="1" ht="12.75" x14ac:dyDescent="0.2">
      <c r="A420" s="34"/>
      <c r="B420" s="37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</row>
    <row r="421" spans="1:23" s="31" customFormat="1" ht="12.75" x14ac:dyDescent="0.2">
      <c r="A421" s="34"/>
      <c r="B421" s="37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</row>
    <row r="422" spans="1:23" s="31" customFormat="1" ht="12.75" x14ac:dyDescent="0.2">
      <c r="A422" s="34"/>
      <c r="B422" s="37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</row>
    <row r="423" spans="1:23" s="31" customFormat="1" ht="12.75" x14ac:dyDescent="0.2">
      <c r="A423" s="34"/>
      <c r="B423" s="37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</row>
    <row r="424" spans="1:23" s="31" customFormat="1" ht="12.75" x14ac:dyDescent="0.2">
      <c r="A424" s="34"/>
      <c r="B424" s="37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</row>
    <row r="425" spans="1:23" s="31" customFormat="1" ht="12.75" x14ac:dyDescent="0.2">
      <c r="A425" s="34"/>
      <c r="B425" s="37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</row>
    <row r="426" spans="1:23" s="31" customFormat="1" ht="12.75" x14ac:dyDescent="0.2">
      <c r="A426" s="34"/>
      <c r="B426" s="37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</row>
    <row r="427" spans="1:23" s="31" customFormat="1" ht="12.75" x14ac:dyDescent="0.2">
      <c r="A427" s="34"/>
      <c r="B427" s="37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</row>
    <row r="428" spans="1:23" s="31" customFormat="1" ht="12.75" x14ac:dyDescent="0.2">
      <c r="A428" s="34"/>
      <c r="B428" s="37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</row>
    <row r="429" spans="1:23" s="31" customFormat="1" ht="12.75" x14ac:dyDescent="0.2">
      <c r="A429" s="34"/>
      <c r="B429" s="37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</row>
    <row r="430" spans="1:23" s="31" customFormat="1" ht="12.75" x14ac:dyDescent="0.2">
      <c r="A430" s="34"/>
      <c r="B430" s="37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</row>
    <row r="431" spans="1:23" s="31" customFormat="1" ht="12.75" x14ac:dyDescent="0.2">
      <c r="A431" s="34"/>
      <c r="B431" s="37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</row>
    <row r="432" spans="1:23" s="31" customFormat="1" ht="12.75" x14ac:dyDescent="0.2">
      <c r="A432" s="34"/>
      <c r="B432" s="37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</row>
    <row r="433" spans="1:23" s="31" customFormat="1" ht="12.75" x14ac:dyDescent="0.2">
      <c r="A433" s="34"/>
      <c r="B433" s="37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</row>
    <row r="434" spans="1:23" s="31" customFormat="1" ht="12.75" x14ac:dyDescent="0.2">
      <c r="A434" s="34"/>
      <c r="B434" s="37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</row>
    <row r="435" spans="1:23" s="31" customFormat="1" ht="12.75" x14ac:dyDescent="0.2">
      <c r="A435" s="34"/>
      <c r="B435" s="37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</row>
    <row r="436" spans="1:23" s="31" customFormat="1" ht="12.75" x14ac:dyDescent="0.2">
      <c r="A436" s="34"/>
      <c r="B436" s="37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</row>
    <row r="437" spans="1:23" s="31" customFormat="1" ht="12.75" x14ac:dyDescent="0.2">
      <c r="A437" s="34"/>
      <c r="B437" s="37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</row>
    <row r="438" spans="1:23" s="31" customFormat="1" ht="12.75" x14ac:dyDescent="0.2">
      <c r="A438" s="34"/>
      <c r="B438" s="37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</row>
    <row r="439" spans="1:23" s="31" customFormat="1" ht="12.75" x14ac:dyDescent="0.2">
      <c r="A439" s="34"/>
      <c r="B439" s="37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</row>
    <row r="440" spans="1:23" s="31" customFormat="1" ht="12.75" x14ac:dyDescent="0.2">
      <c r="A440" s="34"/>
      <c r="B440" s="37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</row>
    <row r="441" spans="1:23" s="31" customFormat="1" ht="12.75" x14ac:dyDescent="0.2">
      <c r="A441" s="34"/>
      <c r="B441" s="37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</row>
    <row r="442" spans="1:23" s="31" customFormat="1" ht="12.75" x14ac:dyDescent="0.2">
      <c r="A442" s="34"/>
      <c r="B442" s="37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</row>
    <row r="443" spans="1:23" s="31" customFormat="1" ht="12.75" x14ac:dyDescent="0.2">
      <c r="A443" s="34"/>
      <c r="B443" s="37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</row>
    <row r="444" spans="1:23" s="31" customFormat="1" ht="12.75" x14ac:dyDescent="0.2">
      <c r="A444" s="34"/>
      <c r="B444" s="37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</row>
    <row r="445" spans="1:23" s="31" customFormat="1" ht="12.75" x14ac:dyDescent="0.2">
      <c r="A445" s="34"/>
      <c r="B445" s="37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</row>
    <row r="446" spans="1:23" s="31" customFormat="1" ht="12.75" x14ac:dyDescent="0.2">
      <c r="A446" s="34"/>
      <c r="B446" s="37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</row>
    <row r="447" spans="1:23" s="31" customFormat="1" ht="12.75" x14ac:dyDescent="0.2">
      <c r="A447" s="34"/>
      <c r="B447" s="37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</row>
    <row r="448" spans="1:23" s="31" customFormat="1" ht="12.75" x14ac:dyDescent="0.2">
      <c r="A448" s="34"/>
      <c r="B448" s="37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</row>
    <row r="449" spans="1:23" s="31" customFormat="1" ht="12.75" x14ac:dyDescent="0.2">
      <c r="A449" s="34"/>
      <c r="B449" s="37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</row>
    <row r="450" spans="1:23" s="31" customFormat="1" ht="12.75" x14ac:dyDescent="0.2">
      <c r="A450" s="34"/>
      <c r="B450" s="37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</row>
    <row r="451" spans="1:23" s="31" customFormat="1" ht="12.75" x14ac:dyDescent="0.2">
      <c r="A451" s="34"/>
      <c r="B451" s="37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</row>
    <row r="452" spans="1:23" s="31" customFormat="1" ht="12.75" x14ac:dyDescent="0.2">
      <c r="A452" s="34"/>
      <c r="B452" s="37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</row>
    <row r="453" spans="1:23" s="31" customFormat="1" ht="12.75" x14ac:dyDescent="0.2">
      <c r="A453" s="34"/>
      <c r="B453" s="37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</row>
    <row r="454" spans="1:23" s="31" customFormat="1" ht="12.75" x14ac:dyDescent="0.2">
      <c r="A454" s="34"/>
      <c r="B454" s="37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</row>
    <row r="455" spans="1:23" s="31" customFormat="1" ht="12.75" x14ac:dyDescent="0.2">
      <c r="A455" s="34"/>
      <c r="B455" s="37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</row>
    <row r="456" spans="1:23" s="31" customFormat="1" ht="12.75" x14ac:dyDescent="0.2">
      <c r="A456" s="34"/>
      <c r="B456" s="37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</row>
    <row r="457" spans="1:23" s="31" customFormat="1" ht="12.75" x14ac:dyDescent="0.2">
      <c r="A457" s="34"/>
      <c r="B457" s="37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</row>
    <row r="458" spans="1:23" s="31" customFormat="1" ht="12.75" x14ac:dyDescent="0.2">
      <c r="A458" s="34"/>
      <c r="B458" s="37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</row>
    <row r="459" spans="1:23" s="31" customFormat="1" ht="12.75" x14ac:dyDescent="0.2">
      <c r="A459" s="34"/>
      <c r="B459" s="37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</row>
    <row r="460" spans="1:23" s="31" customFormat="1" ht="12.75" x14ac:dyDescent="0.2">
      <c r="A460" s="34"/>
      <c r="B460" s="37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</row>
    <row r="461" spans="1:23" s="31" customFormat="1" ht="12.75" x14ac:dyDescent="0.2">
      <c r="A461" s="34"/>
      <c r="B461" s="37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</row>
    <row r="462" spans="1:23" s="31" customFormat="1" ht="12.75" x14ac:dyDescent="0.2">
      <c r="A462" s="34"/>
      <c r="B462" s="37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</row>
    <row r="463" spans="1:23" s="31" customFormat="1" ht="12.75" x14ac:dyDescent="0.2">
      <c r="A463" s="34"/>
      <c r="B463" s="37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</row>
    <row r="464" spans="1:23" s="31" customFormat="1" ht="12.75" x14ac:dyDescent="0.2">
      <c r="A464" s="34"/>
      <c r="B464" s="37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</row>
    <row r="465" spans="1:23" s="31" customFormat="1" ht="12.75" x14ac:dyDescent="0.2">
      <c r="A465" s="34"/>
      <c r="B465" s="37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</row>
    <row r="466" spans="1:23" s="31" customFormat="1" ht="12.75" x14ac:dyDescent="0.2">
      <c r="A466" s="34"/>
      <c r="B466" s="37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</row>
    <row r="467" spans="1:23" s="31" customFormat="1" ht="12.75" x14ac:dyDescent="0.2">
      <c r="A467" s="34"/>
      <c r="B467" s="37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</row>
    <row r="468" spans="1:23" s="31" customFormat="1" ht="12.75" x14ac:dyDescent="0.2">
      <c r="A468" s="34"/>
      <c r="B468" s="37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</row>
    <row r="469" spans="1:23" s="31" customFormat="1" ht="12.75" x14ac:dyDescent="0.2">
      <c r="A469" s="34"/>
      <c r="B469" s="37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</row>
    <row r="470" spans="1:23" s="31" customFormat="1" ht="12.75" x14ac:dyDescent="0.2">
      <c r="A470" s="34"/>
      <c r="B470" s="37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</row>
    <row r="471" spans="1:23" s="31" customFormat="1" ht="12.75" x14ac:dyDescent="0.2">
      <c r="A471" s="34"/>
      <c r="B471" s="37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</row>
    <row r="472" spans="1:23" s="31" customFormat="1" ht="12.75" x14ac:dyDescent="0.2">
      <c r="A472" s="34"/>
      <c r="B472" s="37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</row>
    <row r="473" spans="1:23" s="31" customFormat="1" ht="12.75" x14ac:dyDescent="0.2">
      <c r="A473" s="34"/>
      <c r="B473" s="37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</row>
    <row r="474" spans="1:23" s="31" customFormat="1" ht="12.75" x14ac:dyDescent="0.2">
      <c r="A474" s="34"/>
      <c r="B474" s="37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</row>
    <row r="475" spans="1:23" s="31" customFormat="1" ht="12.75" x14ac:dyDescent="0.2">
      <c r="A475" s="34"/>
      <c r="B475" s="37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</row>
    <row r="476" spans="1:23" s="31" customFormat="1" ht="12.75" x14ac:dyDescent="0.2">
      <c r="A476" s="34"/>
      <c r="B476" s="37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</row>
    <row r="477" spans="1:23" s="31" customFormat="1" ht="12.75" x14ac:dyDescent="0.2">
      <c r="A477" s="34"/>
      <c r="B477" s="37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</row>
    <row r="478" spans="1:23" s="31" customFormat="1" ht="12.75" x14ac:dyDescent="0.2">
      <c r="A478" s="34"/>
      <c r="B478" s="37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</row>
    <row r="479" spans="1:23" s="31" customFormat="1" ht="12.75" x14ac:dyDescent="0.2">
      <c r="A479" s="34"/>
      <c r="B479" s="37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</row>
    <row r="480" spans="1:23" s="31" customFormat="1" ht="12.75" x14ac:dyDescent="0.2">
      <c r="A480" s="34"/>
      <c r="B480" s="37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</row>
    <row r="481" spans="1:23" s="31" customFormat="1" ht="12.75" x14ac:dyDescent="0.2">
      <c r="A481" s="34"/>
      <c r="B481" s="37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</row>
    <row r="482" spans="1:23" s="31" customFormat="1" ht="12.75" x14ac:dyDescent="0.2">
      <c r="A482" s="34"/>
      <c r="B482" s="37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</row>
    <row r="483" spans="1:23" s="31" customFormat="1" ht="12.75" x14ac:dyDescent="0.2">
      <c r="A483" s="34"/>
      <c r="B483" s="37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</row>
    <row r="484" spans="1:23" s="31" customFormat="1" ht="12.75" x14ac:dyDescent="0.2">
      <c r="A484" s="34"/>
      <c r="B484" s="37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</row>
    <row r="485" spans="1:23" s="31" customFormat="1" ht="12.75" x14ac:dyDescent="0.2">
      <c r="A485" s="34"/>
      <c r="B485" s="37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</row>
    <row r="486" spans="1:23" s="31" customFormat="1" ht="12.75" x14ac:dyDescent="0.2">
      <c r="A486" s="34"/>
      <c r="B486" s="37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</row>
    <row r="487" spans="1:23" s="31" customFormat="1" ht="12.75" x14ac:dyDescent="0.2">
      <c r="A487" s="34"/>
      <c r="B487" s="37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</row>
    <row r="488" spans="1:23" s="31" customFormat="1" ht="12.75" x14ac:dyDescent="0.2">
      <c r="A488" s="34"/>
      <c r="B488" s="37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</row>
    <row r="489" spans="1:23" s="31" customFormat="1" ht="12.75" x14ac:dyDescent="0.2">
      <c r="A489" s="34"/>
      <c r="B489" s="37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</row>
    <row r="490" spans="1:23" s="31" customFormat="1" ht="12.75" x14ac:dyDescent="0.2">
      <c r="A490" s="34"/>
      <c r="B490" s="37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</row>
    <row r="491" spans="1:23" s="31" customFormat="1" ht="12.75" x14ac:dyDescent="0.2">
      <c r="A491" s="34"/>
      <c r="B491" s="37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</row>
    <row r="492" spans="1:23" s="31" customFormat="1" ht="12.75" x14ac:dyDescent="0.2">
      <c r="A492" s="34"/>
      <c r="B492" s="37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</row>
    <row r="493" spans="1:23" s="31" customFormat="1" ht="12.75" x14ac:dyDescent="0.2">
      <c r="A493" s="34"/>
      <c r="B493" s="37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</row>
    <row r="494" spans="1:23" s="31" customFormat="1" ht="12.75" x14ac:dyDescent="0.2">
      <c r="A494" s="34"/>
      <c r="B494" s="37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</row>
    <row r="495" spans="1:23" s="31" customFormat="1" ht="12.75" x14ac:dyDescent="0.2">
      <c r="A495" s="34"/>
      <c r="B495" s="37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</row>
    <row r="496" spans="1:23" s="31" customFormat="1" ht="12.75" x14ac:dyDescent="0.2">
      <c r="A496" s="34"/>
      <c r="B496" s="37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</row>
    <row r="497" spans="1:23" s="31" customFormat="1" ht="12.75" x14ac:dyDescent="0.2">
      <c r="A497" s="34"/>
      <c r="B497" s="37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</row>
    <row r="498" spans="1:23" s="31" customFormat="1" ht="12.75" x14ac:dyDescent="0.2">
      <c r="A498" s="34"/>
      <c r="B498" s="37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</row>
    <row r="499" spans="1:23" s="31" customFormat="1" ht="12.75" x14ac:dyDescent="0.2">
      <c r="A499" s="34"/>
      <c r="B499" s="37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</row>
    <row r="500" spans="1:23" s="31" customFormat="1" ht="12.75" x14ac:dyDescent="0.2">
      <c r="A500" s="34"/>
      <c r="B500" s="37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</row>
    <row r="501" spans="1:23" s="31" customFormat="1" ht="12.75" x14ac:dyDescent="0.2">
      <c r="A501" s="34"/>
      <c r="B501" s="37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</row>
    <row r="502" spans="1:23" s="31" customFormat="1" ht="12.75" x14ac:dyDescent="0.2">
      <c r="A502" s="34"/>
      <c r="B502" s="37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</row>
    <row r="503" spans="1:23" s="31" customFormat="1" ht="12.75" x14ac:dyDescent="0.2">
      <c r="A503" s="34"/>
      <c r="B503" s="37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</row>
    <row r="504" spans="1:23" s="31" customFormat="1" ht="12.75" x14ac:dyDescent="0.2">
      <c r="A504" s="34"/>
      <c r="B504" s="37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</row>
    <row r="505" spans="1:23" s="31" customFormat="1" ht="12.75" x14ac:dyDescent="0.2">
      <c r="A505" s="34"/>
      <c r="B505" s="37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</row>
    <row r="506" spans="1:23" s="31" customFormat="1" ht="12.75" x14ac:dyDescent="0.2">
      <c r="A506" s="34"/>
      <c r="B506" s="37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</row>
    <row r="507" spans="1:23" s="31" customFormat="1" ht="12.75" x14ac:dyDescent="0.2">
      <c r="A507" s="34"/>
      <c r="B507" s="37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</row>
    <row r="508" spans="1:23" s="31" customFormat="1" ht="12.75" x14ac:dyDescent="0.2">
      <c r="A508" s="34"/>
      <c r="B508" s="37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</row>
    <row r="509" spans="1:23" s="31" customFormat="1" ht="12.75" x14ac:dyDescent="0.2">
      <c r="A509" s="34"/>
      <c r="B509" s="37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</row>
    <row r="510" spans="1:23" s="31" customFormat="1" ht="12.75" x14ac:dyDescent="0.2">
      <c r="A510" s="34"/>
      <c r="B510" s="37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</row>
    <row r="511" spans="1:23" s="31" customFormat="1" ht="12.75" x14ac:dyDescent="0.2">
      <c r="A511" s="34"/>
      <c r="B511" s="37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</row>
    <row r="512" spans="1:23" s="31" customFormat="1" ht="12.75" x14ac:dyDescent="0.2">
      <c r="A512" s="34"/>
      <c r="B512" s="37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</row>
    <row r="513" spans="1:23" s="31" customFormat="1" ht="12.75" x14ac:dyDescent="0.2">
      <c r="A513" s="34"/>
      <c r="B513" s="37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</row>
    <row r="514" spans="1:23" s="31" customFormat="1" ht="12.75" x14ac:dyDescent="0.2">
      <c r="A514" s="34"/>
      <c r="B514" s="37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</row>
    <row r="515" spans="1:23" s="31" customFormat="1" ht="12.75" x14ac:dyDescent="0.2">
      <c r="A515" s="34"/>
      <c r="B515" s="37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</row>
    <row r="516" spans="1:23" s="31" customFormat="1" ht="12.75" x14ac:dyDescent="0.2">
      <c r="A516" s="34"/>
      <c r="B516" s="37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</row>
    <row r="517" spans="1:23" s="31" customFormat="1" ht="12.75" x14ac:dyDescent="0.2">
      <c r="A517" s="34"/>
      <c r="B517" s="37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</row>
    <row r="518" spans="1:23" s="31" customFormat="1" ht="12.75" x14ac:dyDescent="0.2">
      <c r="A518" s="34"/>
      <c r="B518" s="37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</row>
    <row r="519" spans="1:23" s="31" customFormat="1" ht="12.75" x14ac:dyDescent="0.2">
      <c r="A519" s="34"/>
      <c r="B519" s="37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</row>
    <row r="520" spans="1:23" s="31" customFormat="1" ht="12.75" x14ac:dyDescent="0.2">
      <c r="A520" s="34"/>
      <c r="B520" s="37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</row>
    <row r="521" spans="1:23" s="31" customFormat="1" ht="12.75" x14ac:dyDescent="0.2">
      <c r="A521" s="34"/>
      <c r="B521" s="37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</row>
    <row r="522" spans="1:23" s="31" customFormat="1" ht="12.75" x14ac:dyDescent="0.2">
      <c r="A522" s="34"/>
      <c r="B522" s="37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</row>
    <row r="523" spans="1:23" s="31" customFormat="1" ht="12.75" x14ac:dyDescent="0.2">
      <c r="A523" s="34"/>
      <c r="B523" s="37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</row>
    <row r="524" spans="1:23" s="31" customFormat="1" ht="12.75" x14ac:dyDescent="0.2">
      <c r="A524" s="34"/>
      <c r="B524" s="37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</row>
    <row r="525" spans="1:23" s="31" customFormat="1" ht="12.75" x14ac:dyDescent="0.2">
      <c r="A525" s="34"/>
      <c r="B525" s="37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</row>
    <row r="526" spans="1:23" s="31" customFormat="1" ht="12.75" x14ac:dyDescent="0.2">
      <c r="A526" s="34"/>
      <c r="B526" s="37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</row>
    <row r="527" spans="1:23" s="31" customFormat="1" ht="12.75" x14ac:dyDescent="0.2">
      <c r="A527" s="34"/>
      <c r="B527" s="37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</row>
    <row r="528" spans="1:23" s="31" customFormat="1" ht="12.75" x14ac:dyDescent="0.2">
      <c r="A528" s="34"/>
      <c r="B528" s="37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</row>
    <row r="529" spans="1:23" s="31" customFormat="1" ht="12.75" x14ac:dyDescent="0.2">
      <c r="A529" s="34"/>
      <c r="B529" s="37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</row>
    <row r="530" spans="1:23" s="31" customFormat="1" ht="12.75" x14ac:dyDescent="0.2">
      <c r="A530" s="34"/>
      <c r="B530" s="37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</row>
    <row r="531" spans="1:23" s="31" customFormat="1" ht="12.75" x14ac:dyDescent="0.2">
      <c r="A531" s="34"/>
      <c r="B531" s="37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</row>
    <row r="532" spans="1:23" s="31" customFormat="1" ht="12.75" x14ac:dyDescent="0.2">
      <c r="A532" s="34"/>
      <c r="B532" s="37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</row>
    <row r="533" spans="1:23" s="31" customFormat="1" ht="12.75" x14ac:dyDescent="0.2">
      <c r="A533" s="34"/>
      <c r="B533" s="37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</row>
    <row r="534" spans="1:23" s="31" customFormat="1" ht="12.75" x14ac:dyDescent="0.2">
      <c r="A534" s="34"/>
      <c r="B534" s="37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</row>
    <row r="535" spans="1:23" s="31" customFormat="1" ht="12.75" x14ac:dyDescent="0.2">
      <c r="A535" s="34"/>
      <c r="B535" s="37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</row>
    <row r="536" spans="1:23" s="31" customFormat="1" ht="12.75" x14ac:dyDescent="0.2">
      <c r="A536" s="34"/>
      <c r="B536" s="37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</row>
    <row r="537" spans="1:23" s="31" customFormat="1" ht="12.75" x14ac:dyDescent="0.2">
      <c r="A537" s="34"/>
      <c r="B537" s="37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</row>
    <row r="538" spans="1:23" s="31" customFormat="1" ht="12.75" x14ac:dyDescent="0.2">
      <c r="A538" s="34"/>
      <c r="B538" s="37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</row>
    <row r="539" spans="1:23" s="31" customFormat="1" ht="12.75" x14ac:dyDescent="0.2">
      <c r="A539" s="34"/>
      <c r="B539" s="37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</row>
    <row r="540" spans="1:23" s="31" customFormat="1" ht="12.75" x14ac:dyDescent="0.2">
      <c r="A540" s="34"/>
      <c r="B540" s="37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</row>
    <row r="541" spans="1:23" s="31" customFormat="1" ht="12.75" x14ac:dyDescent="0.2">
      <c r="A541" s="34"/>
      <c r="B541" s="37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</row>
    <row r="542" spans="1:23" s="31" customFormat="1" ht="12.75" x14ac:dyDescent="0.2">
      <c r="A542" s="34"/>
      <c r="B542" s="37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</row>
    <row r="543" spans="1:23" s="31" customFormat="1" ht="12.75" x14ac:dyDescent="0.2">
      <c r="A543" s="34"/>
      <c r="B543" s="37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</row>
    <row r="544" spans="1:23" s="31" customFormat="1" ht="12.75" x14ac:dyDescent="0.2">
      <c r="A544" s="34"/>
      <c r="B544" s="37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</row>
    <row r="545" spans="1:23" s="31" customFormat="1" ht="12.75" x14ac:dyDescent="0.2">
      <c r="A545" s="34"/>
      <c r="B545" s="37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</row>
    <row r="546" spans="1:23" s="31" customFormat="1" ht="12.75" x14ac:dyDescent="0.2">
      <c r="A546" s="34"/>
      <c r="B546" s="37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</row>
    <row r="547" spans="1:23" s="31" customFormat="1" ht="12.75" x14ac:dyDescent="0.2">
      <c r="A547" s="34"/>
      <c r="B547" s="37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</row>
    <row r="548" spans="1:23" s="31" customFormat="1" ht="12.75" x14ac:dyDescent="0.2">
      <c r="A548" s="34"/>
      <c r="B548" s="37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</row>
    <row r="549" spans="1:23" s="31" customFormat="1" ht="12.75" x14ac:dyDescent="0.2">
      <c r="A549" s="34"/>
      <c r="B549" s="37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</row>
    <row r="550" spans="1:23" s="31" customFormat="1" ht="12.75" x14ac:dyDescent="0.2">
      <c r="A550" s="34"/>
      <c r="B550" s="37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</row>
    <row r="551" spans="1:23" s="31" customFormat="1" ht="12.75" x14ac:dyDescent="0.2">
      <c r="A551" s="34"/>
      <c r="B551" s="37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</row>
    <row r="552" spans="1:23" s="31" customFormat="1" ht="12.75" x14ac:dyDescent="0.2">
      <c r="A552" s="34"/>
      <c r="B552" s="37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</row>
    <row r="553" spans="1:23" s="31" customFormat="1" ht="12.75" x14ac:dyDescent="0.2">
      <c r="A553" s="34"/>
      <c r="B553" s="37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</row>
    <row r="554" spans="1:23" s="31" customFormat="1" ht="12.75" x14ac:dyDescent="0.2">
      <c r="A554" s="34"/>
      <c r="B554" s="37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</row>
    <row r="555" spans="1:23" s="31" customFormat="1" ht="12.75" x14ac:dyDescent="0.2">
      <c r="A555" s="34"/>
      <c r="B555" s="37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</row>
    <row r="556" spans="1:23" s="31" customFormat="1" ht="12.75" x14ac:dyDescent="0.2">
      <c r="A556" s="34"/>
      <c r="B556" s="37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</row>
    <row r="557" spans="1:23" s="31" customFormat="1" ht="12.75" x14ac:dyDescent="0.2">
      <c r="A557" s="34"/>
      <c r="B557" s="37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</row>
    <row r="558" spans="1:23" s="31" customFormat="1" ht="12.75" x14ac:dyDescent="0.2">
      <c r="A558" s="34"/>
      <c r="B558" s="37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</row>
    <row r="559" spans="1:23" s="31" customFormat="1" ht="12.75" x14ac:dyDescent="0.2">
      <c r="A559" s="34"/>
      <c r="B559" s="37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</row>
    <row r="560" spans="1:23" s="31" customFormat="1" ht="12.75" x14ac:dyDescent="0.2">
      <c r="A560" s="34"/>
      <c r="B560" s="37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</row>
    <row r="561" spans="1:23" s="31" customFormat="1" ht="12.75" x14ac:dyDescent="0.2">
      <c r="A561" s="34"/>
      <c r="B561" s="37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</row>
    <row r="562" spans="1:23" s="31" customFormat="1" ht="12.75" x14ac:dyDescent="0.2">
      <c r="A562" s="34"/>
      <c r="B562" s="37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</row>
    <row r="563" spans="1:23" s="31" customFormat="1" ht="12.75" x14ac:dyDescent="0.2">
      <c r="A563" s="34"/>
      <c r="B563" s="37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</row>
    <row r="564" spans="1:23" s="31" customFormat="1" ht="12.75" x14ac:dyDescent="0.2">
      <c r="A564" s="34"/>
      <c r="B564" s="37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</row>
    <row r="565" spans="1:23" s="31" customFormat="1" ht="12.75" x14ac:dyDescent="0.2">
      <c r="A565" s="34"/>
      <c r="B565" s="37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</row>
    <row r="566" spans="1:23" s="31" customFormat="1" ht="12.75" x14ac:dyDescent="0.2">
      <c r="A566" s="34"/>
      <c r="B566" s="37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</row>
    <row r="567" spans="1:23" s="31" customFormat="1" ht="12.75" x14ac:dyDescent="0.2">
      <c r="A567" s="34"/>
      <c r="B567" s="37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</row>
    <row r="568" spans="1:23" s="31" customFormat="1" ht="12.75" x14ac:dyDescent="0.2">
      <c r="A568" s="34"/>
      <c r="B568" s="37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</row>
    <row r="569" spans="1:23" s="31" customFormat="1" ht="12.75" x14ac:dyDescent="0.2">
      <c r="A569" s="34"/>
      <c r="B569" s="37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</row>
    <row r="570" spans="1:23" s="31" customFormat="1" ht="12.75" x14ac:dyDescent="0.2">
      <c r="A570" s="34"/>
      <c r="B570" s="37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</row>
    <row r="571" spans="1:23" s="31" customFormat="1" ht="12.75" x14ac:dyDescent="0.2">
      <c r="A571" s="34"/>
      <c r="B571" s="37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</row>
    <row r="572" spans="1:23" s="31" customFormat="1" ht="12.75" x14ac:dyDescent="0.2">
      <c r="A572" s="34"/>
      <c r="B572" s="37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</row>
    <row r="573" spans="1:23" s="31" customFormat="1" ht="12.75" x14ac:dyDescent="0.2">
      <c r="A573" s="34"/>
      <c r="B573" s="37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</row>
    <row r="574" spans="1:23" s="31" customFormat="1" ht="12.75" x14ac:dyDescent="0.2">
      <c r="A574" s="34"/>
      <c r="B574" s="37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</row>
    <row r="575" spans="1:23" s="31" customFormat="1" ht="12.75" x14ac:dyDescent="0.2">
      <c r="A575" s="34"/>
      <c r="B575" s="37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</row>
    <row r="576" spans="1:23" s="31" customFormat="1" ht="12.75" x14ac:dyDescent="0.2">
      <c r="A576" s="34"/>
      <c r="B576" s="37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</row>
    <row r="577" spans="1:23" s="31" customFormat="1" ht="12.75" x14ac:dyDescent="0.2">
      <c r="A577" s="34"/>
      <c r="B577" s="37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</row>
    <row r="578" spans="1:23" s="31" customFormat="1" ht="12.75" x14ac:dyDescent="0.2">
      <c r="A578" s="34"/>
      <c r="B578" s="37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</row>
    <row r="579" spans="1:23" s="31" customFormat="1" ht="12.75" x14ac:dyDescent="0.2">
      <c r="A579" s="34"/>
      <c r="B579" s="37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</row>
    <row r="580" spans="1:23" s="31" customFormat="1" ht="12.75" x14ac:dyDescent="0.2">
      <c r="A580" s="34"/>
      <c r="B580" s="37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</row>
    <row r="581" spans="1:23" s="31" customFormat="1" ht="12.75" x14ac:dyDescent="0.2">
      <c r="A581" s="34"/>
      <c r="B581" s="37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</row>
    <row r="582" spans="1:23" s="31" customFormat="1" ht="12.75" x14ac:dyDescent="0.2">
      <c r="A582" s="34"/>
      <c r="B582" s="37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</row>
    <row r="583" spans="1:23" s="31" customFormat="1" ht="12.75" x14ac:dyDescent="0.2">
      <c r="A583" s="34"/>
      <c r="B583" s="37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</row>
    <row r="584" spans="1:23" s="31" customFormat="1" ht="12.75" x14ac:dyDescent="0.2">
      <c r="A584" s="34"/>
      <c r="B584" s="37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</row>
    <row r="585" spans="1:23" s="31" customFormat="1" ht="12.75" x14ac:dyDescent="0.2">
      <c r="A585" s="34"/>
      <c r="B585" s="37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</row>
    <row r="586" spans="1:23" s="31" customFormat="1" ht="12.75" x14ac:dyDescent="0.2">
      <c r="A586" s="34"/>
      <c r="B586" s="37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</row>
    <row r="587" spans="1:23" s="31" customFormat="1" ht="12.75" x14ac:dyDescent="0.2">
      <c r="A587" s="34"/>
      <c r="B587" s="37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</row>
    <row r="588" spans="1:23" s="31" customFormat="1" ht="12.75" x14ac:dyDescent="0.2">
      <c r="A588" s="34"/>
      <c r="B588" s="37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</row>
    <row r="589" spans="1:23" s="31" customFormat="1" ht="12.75" x14ac:dyDescent="0.2">
      <c r="A589" s="34"/>
      <c r="B589" s="37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</row>
    <row r="590" spans="1:23" s="31" customFormat="1" ht="12.75" x14ac:dyDescent="0.2">
      <c r="A590" s="34"/>
      <c r="B590" s="37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</row>
    <row r="591" spans="1:23" s="31" customFormat="1" ht="12.75" x14ac:dyDescent="0.2">
      <c r="A591" s="34"/>
      <c r="B591" s="37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</row>
    <row r="592" spans="1:23" s="31" customFormat="1" ht="12.75" x14ac:dyDescent="0.2">
      <c r="A592" s="34"/>
      <c r="B592" s="37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</row>
    <row r="593" spans="1:23" s="31" customFormat="1" ht="12.75" x14ac:dyDescent="0.2">
      <c r="A593" s="34"/>
      <c r="B593" s="37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</row>
    <row r="594" spans="1:23" s="31" customFormat="1" ht="12.75" x14ac:dyDescent="0.2">
      <c r="A594" s="34"/>
      <c r="B594" s="37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</row>
    <row r="595" spans="1:23" s="31" customFormat="1" ht="12.75" x14ac:dyDescent="0.2">
      <c r="A595" s="34"/>
      <c r="B595" s="37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</row>
    <row r="596" spans="1:23" s="31" customFormat="1" ht="12.75" x14ac:dyDescent="0.2">
      <c r="A596" s="34"/>
      <c r="B596" s="37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</row>
    <row r="597" spans="1:23" s="31" customFormat="1" ht="12.75" x14ac:dyDescent="0.2">
      <c r="A597" s="34"/>
      <c r="B597" s="37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</row>
    <row r="598" spans="1:23" s="31" customFormat="1" ht="12.75" x14ac:dyDescent="0.2">
      <c r="A598" s="34"/>
      <c r="B598" s="37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</row>
    <row r="599" spans="1:23" s="31" customFormat="1" ht="12.75" x14ac:dyDescent="0.2">
      <c r="A599" s="34"/>
      <c r="B599" s="37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</row>
    <row r="600" spans="1:23" s="31" customFormat="1" ht="12.75" x14ac:dyDescent="0.2">
      <c r="A600" s="34"/>
      <c r="B600" s="37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</row>
    <row r="601" spans="1:23" s="31" customFormat="1" ht="12.75" x14ac:dyDescent="0.2">
      <c r="A601" s="34"/>
      <c r="B601" s="37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</row>
    <row r="602" spans="1:23" s="31" customFormat="1" ht="12.75" x14ac:dyDescent="0.2">
      <c r="A602" s="34"/>
      <c r="B602" s="37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</row>
    <row r="603" spans="1:23" s="31" customFormat="1" ht="12.75" x14ac:dyDescent="0.2">
      <c r="A603" s="34"/>
      <c r="B603" s="37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</row>
    <row r="604" spans="1:23" s="31" customFormat="1" ht="12.75" x14ac:dyDescent="0.2">
      <c r="A604" s="34"/>
      <c r="B604" s="37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</row>
    <row r="605" spans="1:23" s="31" customFormat="1" ht="12.75" x14ac:dyDescent="0.2">
      <c r="A605" s="34"/>
      <c r="B605" s="37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</row>
    <row r="606" spans="1:23" s="31" customFormat="1" ht="12.75" x14ac:dyDescent="0.2">
      <c r="A606" s="34"/>
      <c r="B606" s="37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</row>
    <row r="607" spans="1:23" s="31" customFormat="1" ht="12.75" x14ac:dyDescent="0.2">
      <c r="A607" s="34"/>
      <c r="B607" s="37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</row>
    <row r="608" spans="1:23" s="31" customFormat="1" ht="12.75" x14ac:dyDescent="0.2">
      <c r="A608" s="34"/>
      <c r="B608" s="37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</row>
    <row r="609" spans="1:23" s="31" customFormat="1" ht="12.75" x14ac:dyDescent="0.2">
      <c r="A609" s="34"/>
      <c r="B609" s="37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</row>
    <row r="610" spans="1:23" s="31" customFormat="1" ht="12.75" x14ac:dyDescent="0.2">
      <c r="A610" s="34"/>
      <c r="B610" s="37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</row>
    <row r="611" spans="1:23" s="31" customFormat="1" ht="12.75" x14ac:dyDescent="0.2">
      <c r="A611" s="34"/>
      <c r="B611" s="37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</row>
    <row r="612" spans="1:23" s="31" customFormat="1" ht="12.75" x14ac:dyDescent="0.2">
      <c r="A612" s="34"/>
      <c r="B612" s="37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</row>
    <row r="613" spans="1:23" s="31" customFormat="1" ht="12.75" x14ac:dyDescent="0.2">
      <c r="A613" s="34"/>
      <c r="B613" s="37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</row>
    <row r="614" spans="1:23" s="31" customFormat="1" ht="12.75" x14ac:dyDescent="0.2">
      <c r="A614" s="34"/>
      <c r="B614" s="37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</row>
    <row r="615" spans="1:23" s="31" customFormat="1" ht="12.75" x14ac:dyDescent="0.2">
      <c r="A615" s="34"/>
      <c r="B615" s="37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</row>
    <row r="616" spans="1:23" s="31" customFormat="1" ht="12.75" x14ac:dyDescent="0.2">
      <c r="A616" s="34"/>
      <c r="B616" s="37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</row>
    <row r="617" spans="1:23" s="31" customFormat="1" ht="12.75" x14ac:dyDescent="0.2">
      <c r="A617" s="34"/>
      <c r="B617" s="37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</row>
    <row r="618" spans="1:23" s="31" customFormat="1" ht="12.75" x14ac:dyDescent="0.2">
      <c r="A618" s="34"/>
      <c r="B618" s="37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</row>
    <row r="619" spans="1:23" s="31" customFormat="1" ht="12.75" x14ac:dyDescent="0.2">
      <c r="A619" s="34"/>
      <c r="B619" s="37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</row>
    <row r="620" spans="1:23" s="31" customFormat="1" ht="12.75" x14ac:dyDescent="0.2">
      <c r="A620" s="34"/>
      <c r="B620" s="37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</row>
    <row r="621" spans="1:23" s="31" customFormat="1" ht="12.75" x14ac:dyDescent="0.2">
      <c r="A621" s="34"/>
      <c r="B621" s="37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</row>
    <row r="622" spans="1:23" s="31" customFormat="1" ht="12.75" x14ac:dyDescent="0.2">
      <c r="A622" s="34"/>
      <c r="B622" s="37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</row>
    <row r="623" spans="1:23" s="31" customFormat="1" ht="12.75" x14ac:dyDescent="0.2">
      <c r="A623" s="34"/>
      <c r="B623" s="37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</row>
    <row r="624" spans="1:23" s="31" customFormat="1" ht="12.75" x14ac:dyDescent="0.2">
      <c r="A624" s="34"/>
      <c r="B624" s="37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</row>
    <row r="625" spans="1:23" s="31" customFormat="1" ht="12.75" x14ac:dyDescent="0.2">
      <c r="A625" s="34"/>
      <c r="B625" s="37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</row>
    <row r="626" spans="1:23" s="31" customFormat="1" ht="12.75" x14ac:dyDescent="0.2">
      <c r="A626" s="34"/>
      <c r="B626" s="37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</row>
    <row r="627" spans="1:23" s="31" customFormat="1" ht="12.75" x14ac:dyDescent="0.2">
      <c r="A627" s="34"/>
      <c r="B627" s="37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</row>
    <row r="628" spans="1:23" s="31" customFormat="1" ht="12.75" x14ac:dyDescent="0.2">
      <c r="A628" s="34"/>
      <c r="B628" s="37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</row>
    <row r="629" spans="1:23" s="31" customFormat="1" ht="12.75" x14ac:dyDescent="0.2">
      <c r="A629" s="34"/>
      <c r="B629" s="37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</row>
    <row r="630" spans="1:23" s="31" customFormat="1" ht="12.75" x14ac:dyDescent="0.2">
      <c r="A630" s="34"/>
      <c r="B630" s="37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</row>
    <row r="631" spans="1:23" s="31" customFormat="1" ht="12.75" x14ac:dyDescent="0.2">
      <c r="A631" s="34"/>
      <c r="B631" s="37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</row>
    <row r="632" spans="1:23" s="31" customFormat="1" ht="12.75" x14ac:dyDescent="0.2">
      <c r="A632" s="34"/>
      <c r="B632" s="37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</row>
    <row r="633" spans="1:23" s="31" customFormat="1" ht="12.75" x14ac:dyDescent="0.2">
      <c r="A633" s="34"/>
      <c r="B633" s="37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</row>
    <row r="634" spans="1:23" s="31" customFormat="1" ht="12.75" x14ac:dyDescent="0.2">
      <c r="A634" s="34"/>
      <c r="B634" s="37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</row>
    <row r="635" spans="1:23" s="31" customFormat="1" ht="12.75" x14ac:dyDescent="0.2">
      <c r="A635" s="34"/>
      <c r="B635" s="37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</row>
    <row r="636" spans="1:23" s="31" customFormat="1" ht="12.75" x14ac:dyDescent="0.2">
      <c r="A636" s="34"/>
      <c r="B636" s="37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</row>
    <row r="637" spans="1:23" s="31" customFormat="1" ht="12.75" x14ac:dyDescent="0.2">
      <c r="A637" s="34"/>
      <c r="B637" s="37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</row>
    <row r="638" spans="1:23" s="31" customFormat="1" ht="12.75" x14ac:dyDescent="0.2">
      <c r="A638" s="34"/>
      <c r="B638" s="37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</row>
    <row r="639" spans="1:23" s="31" customFormat="1" ht="12.75" x14ac:dyDescent="0.2">
      <c r="A639" s="34"/>
      <c r="B639" s="37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</row>
    <row r="640" spans="1:23" s="31" customFormat="1" ht="12.75" x14ac:dyDescent="0.2">
      <c r="A640" s="34"/>
      <c r="B640" s="37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</row>
    <row r="641" spans="1:23" s="31" customFormat="1" ht="12.75" x14ac:dyDescent="0.2">
      <c r="A641" s="34"/>
      <c r="B641" s="37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</row>
    <row r="642" spans="1:23" s="31" customFormat="1" ht="12.75" x14ac:dyDescent="0.2">
      <c r="A642" s="34"/>
      <c r="B642" s="37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</row>
    <row r="643" spans="1:23" s="31" customFormat="1" ht="12.75" x14ac:dyDescent="0.2">
      <c r="A643" s="34"/>
      <c r="B643" s="37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</row>
    <row r="644" spans="1:23" s="31" customFormat="1" ht="12.75" x14ac:dyDescent="0.2">
      <c r="A644" s="34"/>
      <c r="B644" s="37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</row>
    <row r="645" spans="1:23" s="31" customFormat="1" ht="12.75" x14ac:dyDescent="0.2">
      <c r="A645" s="34"/>
      <c r="B645" s="37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</row>
    <row r="646" spans="1:23" s="31" customFormat="1" ht="12.75" x14ac:dyDescent="0.2">
      <c r="A646" s="34"/>
      <c r="B646" s="37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</row>
    <row r="647" spans="1:23" s="31" customFormat="1" ht="12.75" x14ac:dyDescent="0.2">
      <c r="A647" s="34"/>
      <c r="B647" s="37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</row>
    <row r="648" spans="1:23" s="31" customFormat="1" ht="12.75" x14ac:dyDescent="0.2">
      <c r="A648" s="34"/>
      <c r="B648" s="37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</row>
    <row r="649" spans="1:23" s="31" customFormat="1" ht="12.75" x14ac:dyDescent="0.2">
      <c r="A649" s="34"/>
      <c r="B649" s="37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</row>
    <row r="650" spans="1:23" s="31" customFormat="1" ht="12.75" x14ac:dyDescent="0.2">
      <c r="A650" s="34"/>
      <c r="B650" s="37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</row>
    <row r="651" spans="1:23" s="31" customFormat="1" ht="12.75" x14ac:dyDescent="0.2">
      <c r="A651" s="34"/>
      <c r="B651" s="37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</row>
    <row r="652" spans="1:23" ht="12.75" x14ac:dyDescent="0.2">
      <c r="A652" s="34"/>
      <c r="B652" s="7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2.75" x14ac:dyDescent="0.2">
      <c r="A653" s="34"/>
      <c r="B653" s="7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2.75" x14ac:dyDescent="0.2">
      <c r="A654" s="34"/>
      <c r="B654" s="7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2.75" x14ac:dyDescent="0.2">
      <c r="A655" s="34"/>
      <c r="B655" s="7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2.75" x14ac:dyDescent="0.2">
      <c r="A656" s="34"/>
      <c r="B656" s="7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2.75" x14ac:dyDescent="0.2">
      <c r="A657" s="34"/>
      <c r="B657" s="7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2.75" x14ac:dyDescent="0.2">
      <c r="A658" s="34"/>
      <c r="B658" s="7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2.75" x14ac:dyDescent="0.2">
      <c r="A659" s="34"/>
      <c r="B659" s="7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2.75" x14ac:dyDescent="0.2">
      <c r="A660" s="34"/>
      <c r="B660" s="7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2.75" x14ac:dyDescent="0.2">
      <c r="A661" s="34"/>
      <c r="B661" s="7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2.75" x14ac:dyDescent="0.2">
      <c r="A662" s="34"/>
      <c r="B662" s="7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2.75" x14ac:dyDescent="0.2">
      <c r="A663" s="34"/>
      <c r="B663" s="7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2.75" x14ac:dyDescent="0.2">
      <c r="A664" s="34"/>
      <c r="B664" s="7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2.75" x14ac:dyDescent="0.2">
      <c r="A665" s="34"/>
      <c r="B665" s="7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2.75" x14ac:dyDescent="0.2">
      <c r="A666" s="34"/>
      <c r="B666" s="7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2.75" x14ac:dyDescent="0.2">
      <c r="A667" s="34"/>
      <c r="B667" s="7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2.75" x14ac:dyDescent="0.2">
      <c r="A668" s="34"/>
      <c r="B668" s="7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2.75" x14ac:dyDescent="0.2">
      <c r="A669" s="34"/>
      <c r="B669" s="7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2.75" x14ac:dyDescent="0.2">
      <c r="A670" s="34"/>
      <c r="B670" s="7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2.75" x14ac:dyDescent="0.2">
      <c r="A671" s="34"/>
      <c r="B671" s="7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2.75" x14ac:dyDescent="0.2">
      <c r="A672" s="34"/>
      <c r="B672" s="7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2.75" x14ac:dyDescent="0.2">
      <c r="A673" s="34"/>
      <c r="B673" s="7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2.75" x14ac:dyDescent="0.2">
      <c r="A674" s="34"/>
      <c r="B674" s="7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2.75" x14ac:dyDescent="0.2">
      <c r="A675" s="34"/>
      <c r="B675" s="7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2.75" x14ac:dyDescent="0.2">
      <c r="A676" s="34"/>
      <c r="B676" s="7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2.75" x14ac:dyDescent="0.2">
      <c r="A677" s="34"/>
      <c r="B677" s="7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2.75" x14ac:dyDescent="0.2">
      <c r="A678" s="34"/>
      <c r="B678" s="7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2.75" x14ac:dyDescent="0.2">
      <c r="A679" s="34"/>
      <c r="B679" s="7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2.75" x14ac:dyDescent="0.2">
      <c r="A680" s="34"/>
      <c r="B680" s="7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2.75" x14ac:dyDescent="0.2">
      <c r="A681" s="34"/>
      <c r="B681" s="7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2.75" x14ac:dyDescent="0.2">
      <c r="A682" s="34"/>
      <c r="B682" s="7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2.75" x14ac:dyDescent="0.2">
      <c r="A683" s="34"/>
      <c r="B683" s="7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2.75" x14ac:dyDescent="0.2">
      <c r="A684" s="34"/>
      <c r="B684" s="7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2.75" x14ac:dyDescent="0.2">
      <c r="A685" s="34"/>
      <c r="B685" s="7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2.75" x14ac:dyDescent="0.2">
      <c r="A686" s="34"/>
      <c r="B686" s="7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2.75" x14ac:dyDescent="0.2">
      <c r="A687" s="34"/>
      <c r="B687" s="7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2.75" x14ac:dyDescent="0.2">
      <c r="A688" s="34"/>
      <c r="B688" s="7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2.75" x14ac:dyDescent="0.2">
      <c r="A689" s="34"/>
      <c r="B689" s="7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2.75" x14ac:dyDescent="0.2">
      <c r="A690" s="34"/>
      <c r="B690" s="7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2.75" x14ac:dyDescent="0.2">
      <c r="A691" s="34"/>
      <c r="B691" s="7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2.75" x14ac:dyDescent="0.2">
      <c r="A692" s="34"/>
      <c r="B692" s="7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2.75" x14ac:dyDescent="0.2">
      <c r="A693" s="34"/>
      <c r="B693" s="7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2.75" x14ac:dyDescent="0.2">
      <c r="A694" s="34"/>
      <c r="B694" s="7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2.75" x14ac:dyDescent="0.2">
      <c r="A695" s="34"/>
      <c r="B695" s="7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2.75" x14ac:dyDescent="0.2">
      <c r="A696" s="34"/>
      <c r="B696" s="7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2.75" x14ac:dyDescent="0.2">
      <c r="A697" s="34"/>
      <c r="B697" s="7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2.75" x14ac:dyDescent="0.2">
      <c r="A698" s="34"/>
      <c r="B698" s="7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2.75" x14ac:dyDescent="0.2">
      <c r="A699" s="34"/>
      <c r="B699" s="7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2.75" x14ac:dyDescent="0.2">
      <c r="A700" s="34"/>
      <c r="B700" s="7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2.75" x14ac:dyDescent="0.2">
      <c r="A701" s="34"/>
      <c r="B701" s="7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2.75" x14ac:dyDescent="0.2">
      <c r="A702" s="34"/>
      <c r="B702" s="7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2.75" x14ac:dyDescent="0.2">
      <c r="A703" s="34"/>
      <c r="B703" s="7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2.75" x14ac:dyDescent="0.2">
      <c r="A704" s="34"/>
      <c r="B704" s="7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2.75" x14ac:dyDescent="0.2">
      <c r="A705" s="34"/>
      <c r="B705" s="7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2.75" x14ac:dyDescent="0.2">
      <c r="A706" s="34"/>
      <c r="B706" s="7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2.75" x14ac:dyDescent="0.2">
      <c r="A707" s="34"/>
      <c r="B707" s="7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2.75" x14ac:dyDescent="0.2">
      <c r="A708" s="34"/>
      <c r="B708" s="7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2.75" x14ac:dyDescent="0.2">
      <c r="A709" s="34"/>
      <c r="B709" s="7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2.75" x14ac:dyDescent="0.2">
      <c r="A710" s="34"/>
      <c r="B710" s="7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2.75" x14ac:dyDescent="0.2">
      <c r="A711" s="34"/>
      <c r="B711" s="7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2.75" x14ac:dyDescent="0.2">
      <c r="A712" s="34"/>
      <c r="B712" s="7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2.75" x14ac:dyDescent="0.2">
      <c r="A713" s="34"/>
      <c r="B713" s="7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2.75" x14ac:dyDescent="0.2">
      <c r="A714" s="34"/>
      <c r="B714" s="7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2.75" x14ac:dyDescent="0.2">
      <c r="A715" s="34"/>
      <c r="B715" s="7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2.75" x14ac:dyDescent="0.2">
      <c r="A716" s="34"/>
      <c r="B716" s="7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2.75" x14ac:dyDescent="0.2">
      <c r="A717" s="34"/>
      <c r="B717" s="7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2.75" x14ac:dyDescent="0.2">
      <c r="A718" s="34"/>
      <c r="B718" s="7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2.75" x14ac:dyDescent="0.2">
      <c r="A719" s="34"/>
      <c r="B719" s="7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2.75" x14ac:dyDescent="0.2">
      <c r="A720" s="34"/>
      <c r="B720" s="7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2.75" x14ac:dyDescent="0.2">
      <c r="A721" s="34"/>
      <c r="B721" s="7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2.75" x14ac:dyDescent="0.2">
      <c r="A722" s="34"/>
      <c r="B722" s="7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2.75" x14ac:dyDescent="0.2">
      <c r="A723" s="34"/>
      <c r="B723" s="7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2.75" x14ac:dyDescent="0.2">
      <c r="A724" s="34"/>
      <c r="B724" s="7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2.75" x14ac:dyDescent="0.2">
      <c r="A725" s="34"/>
      <c r="B725" s="7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2.75" x14ac:dyDescent="0.2">
      <c r="A726" s="34"/>
      <c r="B726" s="7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2.75" x14ac:dyDescent="0.2">
      <c r="A727" s="34"/>
      <c r="B727" s="7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2.75" x14ac:dyDescent="0.2">
      <c r="A728" s="34"/>
      <c r="B728" s="7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2.75" x14ac:dyDescent="0.2">
      <c r="A729" s="34"/>
      <c r="B729" s="7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2.75" x14ac:dyDescent="0.2">
      <c r="A730" s="34"/>
      <c r="B730" s="7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2.75" x14ac:dyDescent="0.2">
      <c r="A731" s="34"/>
      <c r="B731" s="7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2.75" x14ac:dyDescent="0.2">
      <c r="A732" s="34"/>
      <c r="B732" s="7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2.75" x14ac:dyDescent="0.2">
      <c r="A733" s="34"/>
      <c r="B733" s="7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2.75" x14ac:dyDescent="0.2">
      <c r="A734" s="34"/>
      <c r="B734" s="7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2.75" x14ac:dyDescent="0.2">
      <c r="A735" s="34"/>
      <c r="B735" s="7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2.75" x14ac:dyDescent="0.2">
      <c r="A736" s="34"/>
      <c r="B736" s="7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2.75" x14ac:dyDescent="0.2">
      <c r="A737" s="34"/>
      <c r="B737" s="7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2.75" x14ac:dyDescent="0.2">
      <c r="A738" s="34"/>
      <c r="B738" s="7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2.75" x14ac:dyDescent="0.2">
      <c r="A739" s="34"/>
      <c r="B739" s="7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2.75" x14ac:dyDescent="0.2">
      <c r="A740" s="34"/>
      <c r="B740" s="7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2.75" x14ac:dyDescent="0.2">
      <c r="A741" s="34"/>
      <c r="B741" s="7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2.75" x14ac:dyDescent="0.2">
      <c r="A742" s="34"/>
      <c r="B742" s="7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2.75" x14ac:dyDescent="0.2">
      <c r="A743" s="34"/>
      <c r="B743" s="7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2.75" x14ac:dyDescent="0.2">
      <c r="A744" s="34"/>
      <c r="B744" s="7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2.75" x14ac:dyDescent="0.2">
      <c r="A745" s="34"/>
      <c r="B745" s="7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2.75" x14ac:dyDescent="0.2">
      <c r="A746" s="34"/>
      <c r="B746" s="7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2.75" x14ac:dyDescent="0.2">
      <c r="A747" s="34"/>
      <c r="B747" s="7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2.75" x14ac:dyDescent="0.2">
      <c r="A748" s="34"/>
      <c r="B748" s="7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2.75" x14ac:dyDescent="0.2">
      <c r="A749" s="34"/>
      <c r="B749" s="7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2.75" x14ac:dyDescent="0.2">
      <c r="A750" s="34"/>
      <c r="B750" s="7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2.75" x14ac:dyDescent="0.2">
      <c r="A751" s="34"/>
      <c r="B751" s="7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2.75" x14ac:dyDescent="0.2">
      <c r="A752" s="34"/>
      <c r="B752" s="7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2.75" x14ac:dyDescent="0.2">
      <c r="A753" s="34"/>
      <c r="B753" s="7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2.75" x14ac:dyDescent="0.2">
      <c r="A754" s="34"/>
      <c r="B754" s="7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2.75" x14ac:dyDescent="0.2">
      <c r="A755" s="34"/>
      <c r="B755" s="7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2.75" x14ac:dyDescent="0.2">
      <c r="A756" s="34"/>
      <c r="B756" s="7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2.75" x14ac:dyDescent="0.2">
      <c r="A757" s="34"/>
      <c r="B757" s="7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2.75" x14ac:dyDescent="0.2">
      <c r="A758" s="34"/>
      <c r="B758" s="7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2.75" x14ac:dyDescent="0.2">
      <c r="A759" s="34"/>
      <c r="B759" s="7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2.75" x14ac:dyDescent="0.2">
      <c r="A760" s="34"/>
      <c r="B760" s="7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2.75" x14ac:dyDescent="0.2">
      <c r="A761" s="34"/>
      <c r="B761" s="7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2.75" x14ac:dyDescent="0.2">
      <c r="A762" s="34"/>
      <c r="B762" s="7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2.75" x14ac:dyDescent="0.2">
      <c r="A763" s="34"/>
      <c r="B763" s="7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2.75" x14ac:dyDescent="0.2">
      <c r="A764" s="34"/>
      <c r="B764" s="7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2.75" x14ac:dyDescent="0.2">
      <c r="A765" s="34"/>
      <c r="B765" s="7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2.75" x14ac:dyDescent="0.2">
      <c r="A766" s="34"/>
      <c r="B766" s="7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2.75" x14ac:dyDescent="0.2">
      <c r="A767" s="34"/>
      <c r="B767" s="7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2.75" x14ac:dyDescent="0.2">
      <c r="A768" s="34"/>
      <c r="B768" s="7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2.75" x14ac:dyDescent="0.2">
      <c r="A769" s="34"/>
      <c r="B769" s="7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2.75" x14ac:dyDescent="0.2">
      <c r="A770" s="34"/>
      <c r="B770" s="7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2.75" x14ac:dyDescent="0.2">
      <c r="A771" s="34"/>
      <c r="B771" s="7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2.75" x14ac:dyDescent="0.2">
      <c r="A772" s="34"/>
      <c r="B772" s="7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2.75" x14ac:dyDescent="0.2">
      <c r="A773" s="34"/>
      <c r="B773" s="7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2.75" x14ac:dyDescent="0.2">
      <c r="A774" s="34"/>
      <c r="B774" s="7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2.75" x14ac:dyDescent="0.2">
      <c r="A775" s="34"/>
      <c r="B775" s="7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2.75" x14ac:dyDescent="0.2">
      <c r="A776" s="34"/>
      <c r="B776" s="7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2.75" x14ac:dyDescent="0.2">
      <c r="A777" s="34"/>
      <c r="B777" s="7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2.75" x14ac:dyDescent="0.2">
      <c r="A778" s="34"/>
      <c r="B778" s="7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2.75" x14ac:dyDescent="0.2">
      <c r="A779" s="34"/>
      <c r="B779" s="7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2.75" x14ac:dyDescent="0.2">
      <c r="A780" s="34"/>
      <c r="B780" s="7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2.75" x14ac:dyDescent="0.2">
      <c r="A781" s="34"/>
      <c r="B781" s="7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2.75" x14ac:dyDescent="0.2">
      <c r="A782" s="34"/>
      <c r="B782" s="7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2.75" x14ac:dyDescent="0.2">
      <c r="A783" s="34"/>
      <c r="B783" s="7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2.75" x14ac:dyDescent="0.2">
      <c r="A784" s="34"/>
      <c r="B784" s="7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2.75" x14ac:dyDescent="0.2">
      <c r="A785" s="34"/>
      <c r="B785" s="7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2.75" x14ac:dyDescent="0.2">
      <c r="A786" s="34"/>
      <c r="B786" s="7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2.75" x14ac:dyDescent="0.2">
      <c r="A787" s="34"/>
      <c r="B787" s="7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2.75" x14ac:dyDescent="0.2">
      <c r="A788" s="34"/>
      <c r="B788" s="7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2.75" x14ac:dyDescent="0.2">
      <c r="A789" s="34"/>
      <c r="B789" s="7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2.75" x14ac:dyDescent="0.2">
      <c r="A790" s="34"/>
      <c r="B790" s="7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2.75" x14ac:dyDescent="0.2">
      <c r="A791" s="34"/>
      <c r="B791" s="7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2.75" x14ac:dyDescent="0.2">
      <c r="A792" s="34"/>
      <c r="B792" s="7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2.75" x14ac:dyDescent="0.2">
      <c r="A793" s="34"/>
      <c r="B793" s="7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2.75" x14ac:dyDescent="0.2">
      <c r="A794" s="34"/>
      <c r="B794" s="7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2.75" x14ac:dyDescent="0.2">
      <c r="A795" s="34"/>
      <c r="B795" s="7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2.75" x14ac:dyDescent="0.2">
      <c r="A796" s="34"/>
      <c r="B796" s="7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2.75" x14ac:dyDescent="0.2">
      <c r="A797" s="34"/>
      <c r="B797" s="7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2.75" x14ac:dyDescent="0.2">
      <c r="A798" s="34"/>
      <c r="B798" s="7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2.75" x14ac:dyDescent="0.2">
      <c r="A799" s="34"/>
      <c r="B799" s="7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2.75" x14ac:dyDescent="0.2">
      <c r="A800" s="34"/>
      <c r="B800" s="7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2.75" x14ac:dyDescent="0.2">
      <c r="A801" s="34"/>
      <c r="B801" s="7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2.75" x14ac:dyDescent="0.2">
      <c r="A802" s="34"/>
      <c r="B802" s="7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2.75" x14ac:dyDescent="0.2">
      <c r="A803" s="34"/>
      <c r="B803" s="7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2.75" x14ac:dyDescent="0.2">
      <c r="A804" s="34"/>
      <c r="B804" s="7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2.75" x14ac:dyDescent="0.2">
      <c r="A805" s="34"/>
      <c r="B805" s="7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2.75" x14ac:dyDescent="0.2">
      <c r="A806" s="34"/>
      <c r="B806" s="7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2.75" x14ac:dyDescent="0.2">
      <c r="A807" s="34"/>
      <c r="B807" s="7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2.75" x14ac:dyDescent="0.2">
      <c r="A808" s="34"/>
      <c r="B808" s="7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2.75" x14ac:dyDescent="0.2">
      <c r="A809" s="34"/>
      <c r="B809" s="7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2.75" x14ac:dyDescent="0.2">
      <c r="A810" s="34"/>
      <c r="B810" s="7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2.75" x14ac:dyDescent="0.2">
      <c r="A811" s="34"/>
      <c r="B811" s="7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2.75" x14ac:dyDescent="0.2">
      <c r="A812" s="34"/>
      <c r="B812" s="7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2.75" x14ac:dyDescent="0.2">
      <c r="A813" s="34"/>
      <c r="B813" s="7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2.75" x14ac:dyDescent="0.2">
      <c r="A814" s="34"/>
      <c r="B814" s="7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2.75" x14ac:dyDescent="0.2">
      <c r="A815" s="34"/>
      <c r="B815" s="7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2.75" x14ac:dyDescent="0.2">
      <c r="A816" s="34"/>
      <c r="B816" s="7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2.75" x14ac:dyDescent="0.2">
      <c r="A817" s="34"/>
      <c r="B817" s="7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2.75" x14ac:dyDescent="0.2">
      <c r="A818" s="34"/>
      <c r="B818" s="7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2.75" x14ac:dyDescent="0.2">
      <c r="A819" s="34"/>
      <c r="B819" s="7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2.75" x14ac:dyDescent="0.2">
      <c r="A820" s="34"/>
      <c r="B820" s="7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2.75" x14ac:dyDescent="0.2">
      <c r="A821" s="34"/>
      <c r="B821" s="7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2.75" x14ac:dyDescent="0.2">
      <c r="A822" s="34"/>
      <c r="B822" s="7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2.75" x14ac:dyDescent="0.2">
      <c r="A823" s="34"/>
      <c r="B823" s="7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2.75" x14ac:dyDescent="0.2">
      <c r="A824" s="34"/>
      <c r="B824" s="7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2.75" x14ac:dyDescent="0.2">
      <c r="A825" s="34"/>
      <c r="B825" s="7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2.75" x14ac:dyDescent="0.2">
      <c r="A826" s="34"/>
      <c r="B826" s="7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2.75" x14ac:dyDescent="0.2">
      <c r="A827" s="34"/>
      <c r="B827" s="7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2.75" x14ac:dyDescent="0.2">
      <c r="A828" s="34"/>
      <c r="B828" s="7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2.75" x14ac:dyDescent="0.2">
      <c r="A829" s="34"/>
      <c r="B829" s="7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2.75" x14ac:dyDescent="0.2">
      <c r="A830" s="34"/>
      <c r="B830" s="7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2.75" x14ac:dyDescent="0.2">
      <c r="A831" s="34"/>
      <c r="B831" s="7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2.75" x14ac:dyDescent="0.2">
      <c r="A832" s="34"/>
      <c r="B832" s="7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2.75" x14ac:dyDescent="0.2">
      <c r="A833" s="34"/>
      <c r="B833" s="7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2.75" x14ac:dyDescent="0.2">
      <c r="A834" s="34"/>
      <c r="B834" s="7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2.75" x14ac:dyDescent="0.2">
      <c r="A835" s="34"/>
      <c r="B835" s="7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2.75" x14ac:dyDescent="0.2">
      <c r="A836" s="34"/>
      <c r="B836" s="7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2.75" x14ac:dyDescent="0.2">
      <c r="A837" s="34"/>
      <c r="B837" s="7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2.75" x14ac:dyDescent="0.2">
      <c r="A838" s="34"/>
      <c r="B838" s="7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2.75" x14ac:dyDescent="0.2">
      <c r="A839" s="34"/>
      <c r="B839" s="7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2.75" x14ac:dyDescent="0.2">
      <c r="A840" s="34"/>
      <c r="B840" s="7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2.75" x14ac:dyDescent="0.2">
      <c r="A841" s="34"/>
      <c r="B841" s="7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2.75" x14ac:dyDescent="0.2">
      <c r="A842" s="34"/>
      <c r="B842" s="7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2.75" x14ac:dyDescent="0.2">
      <c r="A843" s="34"/>
      <c r="B843" s="7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2.75" x14ac:dyDescent="0.2">
      <c r="A844" s="34"/>
      <c r="B844" s="7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2.75" x14ac:dyDescent="0.2">
      <c r="A845" s="34"/>
      <c r="B845" s="7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2.75" x14ac:dyDescent="0.2">
      <c r="A846" s="34"/>
      <c r="B846" s="7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2.75" x14ac:dyDescent="0.2">
      <c r="A847" s="34"/>
      <c r="B847" s="7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2.75" x14ac:dyDescent="0.2">
      <c r="A848" s="34"/>
      <c r="B848" s="7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2.75" x14ac:dyDescent="0.2">
      <c r="A849" s="34"/>
      <c r="B849" s="7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2.75" x14ac:dyDescent="0.2">
      <c r="A850" s="34"/>
      <c r="B850" s="7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2.75" x14ac:dyDescent="0.2">
      <c r="A851" s="34"/>
      <c r="B851" s="7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2.75" x14ac:dyDescent="0.2">
      <c r="A852" s="34"/>
      <c r="B852" s="7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2.75" x14ac:dyDescent="0.2">
      <c r="A853" s="34"/>
      <c r="B853" s="7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2.75" x14ac:dyDescent="0.2">
      <c r="A854" s="34"/>
      <c r="B854" s="7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2.75" x14ac:dyDescent="0.2">
      <c r="A855" s="34"/>
      <c r="B855" s="7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2.75" x14ac:dyDescent="0.2">
      <c r="A856" s="34"/>
      <c r="B856" s="7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2.75" x14ac:dyDescent="0.2">
      <c r="A857" s="34"/>
      <c r="B857" s="7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2.75" x14ac:dyDescent="0.2">
      <c r="A858" s="34"/>
      <c r="B858" s="7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2.75" x14ac:dyDescent="0.2">
      <c r="A859" s="34"/>
      <c r="B859" s="7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2.75" x14ac:dyDescent="0.2">
      <c r="A860" s="34"/>
      <c r="B860" s="7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2.75" x14ac:dyDescent="0.2">
      <c r="A861" s="34"/>
      <c r="B861" s="7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2.75" x14ac:dyDescent="0.2">
      <c r="A862" s="34"/>
      <c r="B862" s="7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2.75" x14ac:dyDescent="0.2">
      <c r="A863" s="34"/>
      <c r="B863" s="7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2.75" x14ac:dyDescent="0.2">
      <c r="A864" s="34"/>
      <c r="B864" s="7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2.75" x14ac:dyDescent="0.2">
      <c r="A865" s="34"/>
      <c r="B865" s="7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2.75" x14ac:dyDescent="0.2">
      <c r="A866" s="34"/>
      <c r="B866" s="7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2.75" x14ac:dyDescent="0.2">
      <c r="A867" s="34"/>
      <c r="B867" s="7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2.75" x14ac:dyDescent="0.2">
      <c r="A868" s="34"/>
      <c r="B868" s="7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2.75" x14ac:dyDescent="0.2">
      <c r="A869" s="34"/>
      <c r="B869" s="7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2.75" x14ac:dyDescent="0.2">
      <c r="A870" s="34"/>
      <c r="B870" s="7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2.75" x14ac:dyDescent="0.2">
      <c r="A871" s="34"/>
      <c r="B871" s="7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2.75" x14ac:dyDescent="0.2">
      <c r="A872" s="34"/>
      <c r="B872" s="7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2.75" x14ac:dyDescent="0.2">
      <c r="A873" s="34"/>
      <c r="B873" s="7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2.75" x14ac:dyDescent="0.2">
      <c r="A874" s="34"/>
      <c r="B874" s="7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2.75" x14ac:dyDescent="0.2">
      <c r="A875" s="34"/>
      <c r="B875" s="7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2.75" x14ac:dyDescent="0.2">
      <c r="A876" s="34"/>
      <c r="B876" s="7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2.75" x14ac:dyDescent="0.2">
      <c r="A877" s="34"/>
      <c r="B877" s="7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2.75" x14ac:dyDescent="0.2">
      <c r="A878" s="34"/>
      <c r="B878" s="7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2.75" x14ac:dyDescent="0.2">
      <c r="A879" s="34"/>
      <c r="B879" s="7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2.75" x14ac:dyDescent="0.2">
      <c r="A880" s="34"/>
      <c r="B880" s="7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2.75" x14ac:dyDescent="0.2">
      <c r="A881" s="34"/>
      <c r="B881" s="7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2.75" x14ac:dyDescent="0.2">
      <c r="A882" s="34"/>
      <c r="B882" s="7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2.75" x14ac:dyDescent="0.2">
      <c r="A883" s="34"/>
      <c r="B883" s="7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2.75" x14ac:dyDescent="0.2">
      <c r="A884" s="34"/>
      <c r="B884" s="7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2.75" x14ac:dyDescent="0.2">
      <c r="A885" s="34"/>
      <c r="B885" s="7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2.75" x14ac:dyDescent="0.2">
      <c r="A886" s="34"/>
      <c r="B886" s="7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2.75" x14ac:dyDescent="0.2">
      <c r="A887" s="34"/>
      <c r="B887" s="7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2.75" x14ac:dyDescent="0.2">
      <c r="A888" s="34"/>
      <c r="B888" s="7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2.75" x14ac:dyDescent="0.2">
      <c r="A889" s="34"/>
      <c r="B889" s="7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2.75" x14ac:dyDescent="0.2">
      <c r="A890" s="34"/>
      <c r="B890" s="7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2.75" x14ac:dyDescent="0.2">
      <c r="A891" s="34"/>
      <c r="B891" s="7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2.75" x14ac:dyDescent="0.2">
      <c r="A892" s="34"/>
      <c r="B892" s="7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2.75" x14ac:dyDescent="0.2">
      <c r="A893" s="34"/>
      <c r="B893" s="7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2.75" x14ac:dyDescent="0.2">
      <c r="A894" s="34"/>
      <c r="B894" s="7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2.75" x14ac:dyDescent="0.2">
      <c r="A895" s="34"/>
      <c r="B895" s="7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2.75" x14ac:dyDescent="0.2">
      <c r="A896" s="34"/>
      <c r="B896" s="7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2.75" x14ac:dyDescent="0.2">
      <c r="A897" s="34"/>
      <c r="B897" s="7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2.75" x14ac:dyDescent="0.2">
      <c r="A898" s="34"/>
      <c r="B898" s="7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2.75" x14ac:dyDescent="0.2">
      <c r="A899" s="34"/>
      <c r="B899" s="7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2.75" x14ac:dyDescent="0.2">
      <c r="A900" s="34"/>
      <c r="B900" s="7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2.75" x14ac:dyDescent="0.2">
      <c r="A901" s="34"/>
      <c r="B901" s="7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2.75" x14ac:dyDescent="0.2">
      <c r="A902" s="34"/>
      <c r="B902" s="7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2.75" x14ac:dyDescent="0.2">
      <c r="A903" s="34"/>
      <c r="B903" s="7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2.75" x14ac:dyDescent="0.2">
      <c r="A904" s="34"/>
      <c r="B904" s="7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2.75" x14ac:dyDescent="0.2">
      <c r="A905" s="34"/>
      <c r="B905" s="7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2.75" x14ac:dyDescent="0.2">
      <c r="A906" s="34"/>
      <c r="B906" s="7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2.75" x14ac:dyDescent="0.2">
      <c r="A907" s="34"/>
      <c r="B907" s="7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2.75" x14ac:dyDescent="0.2">
      <c r="A908" s="34"/>
      <c r="B908" s="7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2.75" x14ac:dyDescent="0.2">
      <c r="A909" s="34"/>
      <c r="B909" s="7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2.75" x14ac:dyDescent="0.2">
      <c r="A910" s="34"/>
      <c r="B910" s="7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2.75" x14ac:dyDescent="0.2">
      <c r="A911" s="34"/>
      <c r="B911" s="7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2.75" x14ac:dyDescent="0.2">
      <c r="A912" s="34"/>
      <c r="B912" s="7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2.75" x14ac:dyDescent="0.2">
      <c r="A913" s="34"/>
      <c r="B913" s="7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2.75" x14ac:dyDescent="0.2">
      <c r="A914" s="34"/>
      <c r="B914" s="7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2.75" x14ac:dyDescent="0.2">
      <c r="A915" s="34"/>
      <c r="B915" s="7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2.75" x14ac:dyDescent="0.2">
      <c r="A916" s="34"/>
      <c r="B916" s="7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2.75" x14ac:dyDescent="0.2">
      <c r="A917" s="34"/>
      <c r="B917" s="7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2.75" x14ac:dyDescent="0.2">
      <c r="A918" s="34"/>
      <c r="B918" s="7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2.75" x14ac:dyDescent="0.2">
      <c r="A919" s="34"/>
      <c r="B919" s="7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2.75" x14ac:dyDescent="0.2">
      <c r="A920" s="34"/>
      <c r="B920" s="7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2.75" x14ac:dyDescent="0.2">
      <c r="A921" s="34"/>
      <c r="B921" s="7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2.75" x14ac:dyDescent="0.2">
      <c r="A922" s="34"/>
      <c r="B922" s="7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2.75" x14ac:dyDescent="0.2">
      <c r="A923" s="34"/>
      <c r="B923" s="7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2.75" x14ac:dyDescent="0.2">
      <c r="A924" s="34"/>
      <c r="B924" s="7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2.75" x14ac:dyDescent="0.2">
      <c r="A925" s="34"/>
      <c r="B925" s="7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2.75" x14ac:dyDescent="0.2">
      <c r="A926" s="34"/>
      <c r="B926" s="7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2.75" x14ac:dyDescent="0.2">
      <c r="A927" s="34"/>
      <c r="B927" s="7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2.75" x14ac:dyDescent="0.2">
      <c r="A928" s="34"/>
      <c r="B928" s="7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2.75" x14ac:dyDescent="0.2">
      <c r="A929" s="34"/>
      <c r="B929" s="7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2.75" x14ac:dyDescent="0.2">
      <c r="A930" s="34"/>
      <c r="B930" s="7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2.75" x14ac:dyDescent="0.2">
      <c r="A931" s="34"/>
      <c r="B931" s="7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2.75" x14ac:dyDescent="0.2">
      <c r="A932" s="34"/>
      <c r="B932" s="7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2.75" x14ac:dyDescent="0.2">
      <c r="A933" s="34"/>
      <c r="B933" s="7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2.75" x14ac:dyDescent="0.2">
      <c r="A934" s="34"/>
      <c r="B934" s="7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2.75" x14ac:dyDescent="0.2">
      <c r="A935" s="34"/>
      <c r="B935" s="7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2.75" x14ac:dyDescent="0.2">
      <c r="A936" s="34"/>
      <c r="B936" s="7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2.75" x14ac:dyDescent="0.2">
      <c r="A937" s="34"/>
      <c r="B937" s="7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2.75" x14ac:dyDescent="0.2">
      <c r="A938" s="34"/>
      <c r="B938" s="7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2.75" x14ac:dyDescent="0.2">
      <c r="A939" s="34"/>
      <c r="B939" s="7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2.75" x14ac:dyDescent="0.2">
      <c r="A940" s="34"/>
      <c r="B940" s="7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2.75" x14ac:dyDescent="0.2">
      <c r="A941" s="34"/>
      <c r="B941" s="7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2.75" x14ac:dyDescent="0.2">
      <c r="A942" s="34"/>
      <c r="B942" s="7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2.75" x14ac:dyDescent="0.2">
      <c r="A943" s="34"/>
      <c r="B943" s="7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2.75" x14ac:dyDescent="0.2">
      <c r="A944" s="34"/>
      <c r="B944" s="7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2.75" x14ac:dyDescent="0.2">
      <c r="A945" s="34"/>
      <c r="B945" s="7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2.75" x14ac:dyDescent="0.2">
      <c r="A946" s="34"/>
      <c r="B946" s="7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2.75" x14ac:dyDescent="0.2">
      <c r="A947" s="34"/>
      <c r="B947" s="7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2.75" x14ac:dyDescent="0.2">
      <c r="A948" s="34"/>
      <c r="B948" s="7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2.75" x14ac:dyDescent="0.2">
      <c r="A949" s="34"/>
      <c r="B949" s="7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2.75" x14ac:dyDescent="0.2">
      <c r="A950" s="34"/>
      <c r="B950" s="7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2.75" x14ac:dyDescent="0.2">
      <c r="A951" s="34"/>
      <c r="B951" s="7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2.75" x14ac:dyDescent="0.2">
      <c r="A952" s="34"/>
      <c r="B952" s="7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2.75" x14ac:dyDescent="0.2">
      <c r="A953" s="34"/>
      <c r="B953" s="7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2.75" x14ac:dyDescent="0.2">
      <c r="A954" s="34"/>
      <c r="B954" s="7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2.75" x14ac:dyDescent="0.2">
      <c r="A955" s="34"/>
      <c r="B955" s="7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2.75" x14ac:dyDescent="0.2">
      <c r="A956" s="34"/>
      <c r="B956" s="7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2.75" x14ac:dyDescent="0.2">
      <c r="A957" s="34"/>
      <c r="B957" s="7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2.75" x14ac:dyDescent="0.2">
      <c r="A958" s="34"/>
      <c r="B958" s="7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2.75" x14ac:dyDescent="0.2">
      <c r="A959" s="34"/>
      <c r="B959" s="7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2.75" x14ac:dyDescent="0.2">
      <c r="A960" s="34"/>
      <c r="B960" s="7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2.75" x14ac:dyDescent="0.2">
      <c r="A961" s="34"/>
      <c r="B961" s="7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2.75" x14ac:dyDescent="0.2">
      <c r="A962" s="34"/>
      <c r="B962" s="7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2.75" x14ac:dyDescent="0.2">
      <c r="A963" s="34"/>
      <c r="B963" s="7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2.75" x14ac:dyDescent="0.2">
      <c r="A964" s="34"/>
      <c r="B964" s="7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2.75" x14ac:dyDescent="0.2">
      <c r="A965" s="34"/>
      <c r="B965" s="7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2.75" x14ac:dyDescent="0.2">
      <c r="A966" s="34"/>
      <c r="B966" s="7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2.75" x14ac:dyDescent="0.2">
      <c r="A967" s="34"/>
      <c r="B967" s="7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2.75" x14ac:dyDescent="0.2">
      <c r="A968" s="34"/>
      <c r="B968" s="7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2.75" x14ac:dyDescent="0.2">
      <c r="A969" s="34"/>
      <c r="B969" s="7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2.75" x14ac:dyDescent="0.2">
      <c r="A970" s="34"/>
      <c r="B970" s="7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2.75" x14ac:dyDescent="0.2">
      <c r="A971" s="34"/>
      <c r="B971" s="7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2.75" x14ac:dyDescent="0.2">
      <c r="A972" s="34"/>
      <c r="B972" s="7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2.75" x14ac:dyDescent="0.2">
      <c r="A973" s="34"/>
      <c r="B973" s="7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2.75" x14ac:dyDescent="0.2">
      <c r="A974" s="34"/>
      <c r="B974" s="7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2.75" x14ac:dyDescent="0.2">
      <c r="A975" s="34"/>
      <c r="B975" s="7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2.75" x14ac:dyDescent="0.2">
      <c r="A976" s="34"/>
      <c r="B976" s="7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2.75" x14ac:dyDescent="0.2">
      <c r="A977" s="34"/>
      <c r="B977" s="7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2.75" x14ac:dyDescent="0.2">
      <c r="A978" s="34"/>
      <c r="B978" s="7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2.75" x14ac:dyDescent="0.2">
      <c r="A979" s="34"/>
      <c r="B979" s="7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</sheetData>
  <mergeCells count="150">
    <mergeCell ref="F23:H23"/>
    <mergeCell ref="D31:E31"/>
    <mergeCell ref="B38:E38"/>
    <mergeCell ref="B39:C39"/>
    <mergeCell ref="D39:E39"/>
    <mergeCell ref="F38:H38"/>
    <mergeCell ref="F39:H39"/>
    <mergeCell ref="F24:H24"/>
    <mergeCell ref="F25:H25"/>
    <mergeCell ref="F26:H26"/>
    <mergeCell ref="F27:H27"/>
    <mergeCell ref="F28:H28"/>
    <mergeCell ref="F29:H29"/>
    <mergeCell ref="D35:E35"/>
    <mergeCell ref="D1:G1"/>
    <mergeCell ref="F21:H21"/>
    <mergeCell ref="F9:H9"/>
    <mergeCell ref="F17:H17"/>
    <mergeCell ref="F16:H16"/>
    <mergeCell ref="F15:H15"/>
    <mergeCell ref="F14:H14"/>
    <mergeCell ref="F13:H13"/>
    <mergeCell ref="F12:H12"/>
    <mergeCell ref="F11:H11"/>
    <mergeCell ref="F10:H10"/>
    <mergeCell ref="D10:E10"/>
    <mergeCell ref="D11:E11"/>
    <mergeCell ref="D20:E20"/>
    <mergeCell ref="D21:E21"/>
    <mergeCell ref="D18:E18"/>
    <mergeCell ref="D14:E14"/>
    <mergeCell ref="D13:E13"/>
    <mergeCell ref="D15:E15"/>
    <mergeCell ref="B9:E9"/>
    <mergeCell ref="B2:C2"/>
    <mergeCell ref="D2:E2"/>
    <mergeCell ref="B6:C6"/>
    <mergeCell ref="D6:E6"/>
    <mergeCell ref="B54:T54"/>
    <mergeCell ref="B67:T67"/>
    <mergeCell ref="B70:T70"/>
    <mergeCell ref="B61:T61"/>
    <mergeCell ref="B65:T65"/>
    <mergeCell ref="B101:T101"/>
    <mergeCell ref="D37:E37"/>
    <mergeCell ref="D12:E12"/>
    <mergeCell ref="D23:E23"/>
    <mergeCell ref="F19:H19"/>
    <mergeCell ref="F20:H20"/>
    <mergeCell ref="D17:E17"/>
    <mergeCell ref="D16:E16"/>
    <mergeCell ref="F30:H30"/>
    <mergeCell ref="F31:H31"/>
    <mergeCell ref="F32:H32"/>
    <mergeCell ref="F33:H33"/>
    <mergeCell ref="F34:H34"/>
    <mergeCell ref="F35:H35"/>
    <mergeCell ref="B36:E36"/>
    <mergeCell ref="B37:C37"/>
    <mergeCell ref="F22:H22"/>
    <mergeCell ref="F36:H36"/>
    <mergeCell ref="F37:H37"/>
    <mergeCell ref="B42:T42"/>
    <mergeCell ref="B44:T44"/>
    <mergeCell ref="B46:T46"/>
    <mergeCell ref="B48:T48"/>
    <mergeCell ref="B76:T76"/>
    <mergeCell ref="B104:T104"/>
    <mergeCell ref="B187:T187"/>
    <mergeCell ref="B154:T154"/>
    <mergeCell ref="B156:T156"/>
    <mergeCell ref="B160:T160"/>
    <mergeCell ref="B162:T162"/>
    <mergeCell ref="B166:T166"/>
    <mergeCell ref="B170:T170"/>
    <mergeCell ref="B172:T172"/>
    <mergeCell ref="B118:T118"/>
    <mergeCell ref="B120:T120"/>
    <mergeCell ref="B174:T174"/>
    <mergeCell ref="B176:T176"/>
    <mergeCell ref="B106:T106"/>
    <mergeCell ref="B78:T78"/>
    <mergeCell ref="B80:T80"/>
    <mergeCell ref="B82:T82"/>
    <mergeCell ref="B108:T108"/>
    <mergeCell ref="B178:T178"/>
    <mergeCell ref="B182:T182"/>
    <mergeCell ref="B73:T73"/>
    <mergeCell ref="B134:T134"/>
    <mergeCell ref="B136:T136"/>
    <mergeCell ref="B138:T138"/>
    <mergeCell ref="B146:T146"/>
    <mergeCell ref="B152:T152"/>
    <mergeCell ref="B113:T113"/>
    <mergeCell ref="B116:T116"/>
    <mergeCell ref="B122:T122"/>
    <mergeCell ref="B127:T127"/>
    <mergeCell ref="B129:T129"/>
    <mergeCell ref="B125:T125"/>
    <mergeCell ref="B132:T132"/>
    <mergeCell ref="B142:T142"/>
    <mergeCell ref="B144:T144"/>
    <mergeCell ref="B150:T150"/>
    <mergeCell ref="B111:T111"/>
    <mergeCell ref="B93:T93"/>
    <mergeCell ref="B63:T63"/>
    <mergeCell ref="B17:C17"/>
    <mergeCell ref="B16:C16"/>
    <mergeCell ref="B18:C18"/>
    <mergeCell ref="B15:C15"/>
    <mergeCell ref="B19:E19"/>
    <mergeCell ref="B50:T50"/>
    <mergeCell ref="B22:C22"/>
    <mergeCell ref="B31:C31"/>
    <mergeCell ref="N41:O41"/>
    <mergeCell ref="E41:F41"/>
    <mergeCell ref="H41:I41"/>
    <mergeCell ref="K41:L41"/>
    <mergeCell ref="D29:E29"/>
    <mergeCell ref="D28:E28"/>
    <mergeCell ref="D27:E27"/>
    <mergeCell ref="D26:E26"/>
    <mergeCell ref="D25:E25"/>
    <mergeCell ref="D24:E24"/>
    <mergeCell ref="B32:C32"/>
    <mergeCell ref="B34:C34"/>
    <mergeCell ref="B33:C33"/>
    <mergeCell ref="D34:E34"/>
    <mergeCell ref="D33:E33"/>
    <mergeCell ref="B3:C3"/>
    <mergeCell ref="D3:E3"/>
    <mergeCell ref="B35:C35"/>
    <mergeCell ref="B26:C26"/>
    <mergeCell ref="B25:C25"/>
    <mergeCell ref="B24:C24"/>
    <mergeCell ref="B29:C29"/>
    <mergeCell ref="B7:C7"/>
    <mergeCell ref="D7:E7"/>
    <mergeCell ref="B5:E5"/>
    <mergeCell ref="B10:C10"/>
    <mergeCell ref="B11:C11"/>
    <mergeCell ref="B20:C20"/>
    <mergeCell ref="B21:C21"/>
    <mergeCell ref="B13:C13"/>
    <mergeCell ref="B14:C14"/>
    <mergeCell ref="B28:C28"/>
    <mergeCell ref="B27:C27"/>
    <mergeCell ref="B30:E30"/>
    <mergeCell ref="D22:E22"/>
    <mergeCell ref="D32:E32"/>
  </mergeCells>
  <phoneticPr fontId="3" type="noConversion"/>
  <conditionalFormatting sqref="D10:E11">
    <cfRule type="expression" dxfId="8" priority="1">
      <formula>$D$11&lt;=$D$10</formula>
    </cfRule>
  </conditionalFormatting>
  <conditionalFormatting sqref="D15:E15">
    <cfRule type="expression" dxfId="7" priority="3">
      <formula>IF(ISNUMBER($D$15),$D$14&gt;=$D$15,FALSE)</formula>
    </cfRule>
    <cfRule type="expression" dxfId="6" priority="4">
      <formula>IF(ISNUMBER($D$15),$D$15&gt;=$D$16,FALSE)</formula>
    </cfRule>
  </conditionalFormatting>
  <conditionalFormatting sqref="D21:E22">
    <cfRule type="expression" dxfId="5" priority="2">
      <formula>$D$22&lt;=$D$21</formula>
    </cfRule>
  </conditionalFormatting>
  <conditionalFormatting sqref="D26:E26">
    <cfRule type="expression" dxfId="4" priority="5">
      <formula>IF(ISNUMBER($D$26),$D$25&gt;=$D$26,FALSE)</formula>
    </cfRule>
    <cfRule type="expression" dxfId="3" priority="6">
      <formula>IF(ISNUMBER($D$26),$D$26&gt;=$D$27,FALSE)</formula>
    </cfRule>
  </conditionalFormatting>
  <conditionalFormatting sqref="S43:S191">
    <cfRule type="containsText" dxfId="2" priority="19" stopIfTrue="1" operator="containsText" text="Not applicable">
      <formula>NOT(ISERROR(SEARCH("Not applicable",S43)))</formula>
    </cfRule>
    <cfRule type="containsText" dxfId="1" priority="20" stopIfTrue="1" operator="containsText" text="Failed">
      <formula>NOT(ISERROR(SEARCH("Failed",S43)))</formula>
    </cfRule>
    <cfRule type="containsText" dxfId="0" priority="21" stopIfTrue="1" operator="containsText" text="Passed">
      <formula>NOT(ISERROR(SEARCH("Passed",S43)))</formula>
    </cfRule>
  </conditionalFormatting>
  <dataValidations count="3">
    <dataValidation type="list" allowBlank="1" showInputMessage="1" showErrorMessage="1" promptTitle="Test verdict" prompt="Pick the verdict from the list. Don't type it manually." sqref="S51 S43 S45 S47 S49" xr:uid="{00DDFD5A-1502-4D21-B2ED-8642E2A42E97}">
      <formula1>"Passed,Failed,Not applicable"</formula1>
    </dataValidation>
    <dataValidation type="list" allowBlank="1" showErrorMessage="1" promptTitle="Test verdict" prompt="Pick the verdict from the list. Don't type it manually." sqref="S52:S53 S188:S191 S68:S69 S71:S72 S74:S75 S77 S79 S81 S66 S109:S110 S112 S114:S115 S117:S121 S107 S128 S126 S135 S137 S133 S145 S153 S155 S157:S159 S161 S163:S165 S151 S175 S177 S173 S119:S121 S121 S64 S62 S94:S100 S105 S123:S124 S130:S131 S139:S141 S143 S147:S149 S167:S169 S171 S179:S181 S183:S186 S55:S60 S83:S92 S102:S103" xr:uid="{43F3A6EC-45FA-4F73-B5B6-D2B9AFF00E72}">
      <formula1>"Passed,Failed,Not applicable"</formula1>
    </dataValidation>
    <dataValidation type="list" allowBlank="1" showInputMessage="1" showErrorMessage="1" sqref="D3:E3" xr:uid="{596DF7B4-1159-4EC1-AAD5-A2DCB84DBFFE}">
      <formula1>"Yes,No"</formula1>
    </dataValidation>
  </dataValidations>
  <printOptions horizontalCentered="1"/>
  <pageMargins left="0.25" right="0.25" top="0.75" bottom="0.75" header="0.3" footer="0.3"/>
  <pageSetup scale="31" fitToHeight="0" orientation="landscape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F2468-F4B2-4870-BA8C-6DD3DAD8D20F}">
  <sheetPr>
    <tabColor theme="5" tint="0.39997558519241921"/>
  </sheetPr>
  <dimension ref="B1:R250"/>
  <sheetViews>
    <sheetView workbookViewId="0"/>
  </sheetViews>
  <sheetFormatPr defaultColWidth="11.42578125" defaultRowHeight="12.75" x14ac:dyDescent="0.2"/>
  <cols>
    <col min="1" max="1" width="3" style="27" customWidth="1"/>
    <col min="2" max="2" width="8.7109375" style="27" customWidth="1"/>
    <col min="3" max="3" width="20.7109375" style="27" customWidth="1"/>
    <col min="4" max="4" width="40.7109375" style="27" customWidth="1"/>
    <col min="5" max="5" width="71.7109375" style="27" customWidth="1"/>
    <col min="6" max="6" width="18.7109375" style="27" customWidth="1"/>
    <col min="7" max="7" width="37.7109375" style="27" customWidth="1"/>
    <col min="8" max="8" width="91.7109375" style="27" customWidth="1"/>
    <col min="9" max="9" width="15.140625" style="27" bestFit="1" customWidth="1"/>
    <col min="10" max="10" width="17.140625" style="27" bestFit="1" customWidth="1"/>
    <col min="11" max="16384" width="11.42578125" style="27"/>
  </cols>
  <sheetData>
    <row r="1" spans="2:18" s="3" customFormat="1" ht="45" customHeight="1" x14ac:dyDescent="0.2">
      <c r="C1" s="2"/>
      <c r="D1" s="133" t="s">
        <v>134</v>
      </c>
      <c r="E1" s="133"/>
      <c r="F1" s="2"/>
      <c r="G1" s="2"/>
      <c r="H1" s="15"/>
      <c r="I1" s="15"/>
      <c r="J1" s="9"/>
      <c r="K1" s="9"/>
      <c r="L1" s="2"/>
      <c r="M1" s="2"/>
      <c r="N1" s="2"/>
      <c r="O1" s="2"/>
      <c r="P1" s="2"/>
      <c r="Q1" s="2"/>
      <c r="R1" s="2"/>
    </row>
    <row r="2" spans="2:18" s="28" customFormat="1" ht="19.5" customHeight="1" x14ac:dyDescent="0.2">
      <c r="B2" s="193" t="s">
        <v>135</v>
      </c>
      <c r="C2" s="194"/>
      <c r="D2" s="194"/>
      <c r="E2" s="195"/>
      <c r="F2" s="29"/>
    </row>
    <row r="3" spans="2:18" s="28" customFormat="1" ht="39" customHeight="1" x14ac:dyDescent="0.2">
      <c r="B3" s="4" t="s">
        <v>136</v>
      </c>
      <c r="C3" s="6" t="s">
        <v>170</v>
      </c>
      <c r="D3" s="11" t="s">
        <v>137</v>
      </c>
      <c r="E3" s="11" t="s">
        <v>138</v>
      </c>
      <c r="F3" s="11" t="s">
        <v>139</v>
      </c>
      <c r="G3" s="11" t="s">
        <v>142</v>
      </c>
      <c r="H3" s="6" t="s">
        <v>160</v>
      </c>
      <c r="I3" s="192"/>
      <c r="J3" s="192"/>
    </row>
    <row r="4" spans="2:18" s="28" customFormat="1" ht="19.5" customHeight="1" x14ac:dyDescent="0.2">
      <c r="B4" s="59" t="s">
        <v>114</v>
      </c>
      <c r="C4" s="42"/>
      <c r="D4" s="59" t="s">
        <v>143</v>
      </c>
      <c r="E4" s="51" t="s">
        <v>147</v>
      </c>
      <c r="F4" s="52">
        <v>1</v>
      </c>
      <c r="G4" s="51" t="s">
        <v>83</v>
      </c>
      <c r="H4" s="44"/>
    </row>
    <row r="5" spans="2:18" s="28" customFormat="1" ht="19.5" customHeight="1" x14ac:dyDescent="0.2">
      <c r="B5" s="59" t="s">
        <v>115</v>
      </c>
      <c r="C5" s="42"/>
      <c r="D5" s="59" t="s">
        <v>143</v>
      </c>
      <c r="E5" s="51" t="s">
        <v>148</v>
      </c>
      <c r="F5" s="52">
        <v>2</v>
      </c>
      <c r="G5" s="51" t="s">
        <v>112</v>
      </c>
      <c r="H5" s="44"/>
    </row>
    <row r="6" spans="2:18" s="28" customFormat="1" ht="19.5" customHeight="1" x14ac:dyDescent="0.2">
      <c r="B6" s="59" t="s">
        <v>116</v>
      </c>
      <c r="C6" s="42"/>
      <c r="D6" s="59" t="s">
        <v>143</v>
      </c>
      <c r="E6" s="51" t="s">
        <v>120</v>
      </c>
      <c r="F6" s="52">
        <v>4</v>
      </c>
      <c r="G6" s="60" t="s">
        <v>159</v>
      </c>
      <c r="H6" s="41"/>
    </row>
    <row r="7" spans="2:18" s="28" customFormat="1" ht="19.5" customHeight="1" x14ac:dyDescent="0.2">
      <c r="B7" s="59" t="s">
        <v>117</v>
      </c>
      <c r="C7" s="42"/>
      <c r="D7" s="59" t="s">
        <v>143</v>
      </c>
      <c r="E7" s="51" t="s">
        <v>121</v>
      </c>
      <c r="F7" s="52">
        <v>4</v>
      </c>
      <c r="G7" s="60" t="s">
        <v>159</v>
      </c>
      <c r="H7" s="41"/>
    </row>
    <row r="8" spans="2:18" s="28" customFormat="1" ht="19.5" customHeight="1" x14ac:dyDescent="0.2">
      <c r="B8" s="59" t="s">
        <v>118</v>
      </c>
      <c r="C8" s="42"/>
      <c r="D8" s="59" t="s">
        <v>143</v>
      </c>
      <c r="E8" s="51" t="s">
        <v>149</v>
      </c>
      <c r="F8" s="52">
        <v>1</v>
      </c>
      <c r="G8" s="51" t="s">
        <v>35</v>
      </c>
      <c r="H8" s="41"/>
    </row>
    <row r="9" spans="2:18" s="28" customFormat="1" ht="27" x14ac:dyDescent="0.2">
      <c r="B9" s="59" t="s">
        <v>119</v>
      </c>
      <c r="C9" s="42"/>
      <c r="D9" s="59" t="s">
        <v>143</v>
      </c>
      <c r="E9" s="51" t="s">
        <v>150</v>
      </c>
      <c r="F9" s="52" t="s">
        <v>151</v>
      </c>
      <c r="G9" s="51" t="s">
        <v>157</v>
      </c>
      <c r="H9" s="41"/>
    </row>
    <row r="10" spans="2:18" s="28" customFormat="1" ht="19.5" customHeight="1" x14ac:dyDescent="0.2">
      <c r="B10" s="196"/>
      <c r="C10" s="197"/>
      <c r="D10" s="197"/>
      <c r="E10" s="197"/>
      <c r="F10" s="197"/>
      <c r="G10" s="197"/>
      <c r="H10" s="198"/>
    </row>
    <row r="11" spans="2:18" s="28" customFormat="1" ht="19.5" customHeight="1" x14ac:dyDescent="0.2">
      <c r="B11" s="59" t="s">
        <v>122</v>
      </c>
      <c r="C11" s="42"/>
      <c r="D11" s="59" t="s">
        <v>145</v>
      </c>
      <c r="E11" s="51" t="s">
        <v>218</v>
      </c>
      <c r="F11" s="52">
        <v>4</v>
      </c>
      <c r="G11" s="51" t="s">
        <v>214</v>
      </c>
      <c r="H11" s="41" t="s">
        <v>166</v>
      </c>
    </row>
    <row r="12" spans="2:18" s="28" customFormat="1" ht="19.5" customHeight="1" x14ac:dyDescent="0.2">
      <c r="B12" s="59" t="s">
        <v>123</v>
      </c>
      <c r="C12" s="42"/>
      <c r="D12" s="59" t="s">
        <v>145</v>
      </c>
      <c r="E12" s="51" t="s">
        <v>152</v>
      </c>
      <c r="F12" s="52">
        <v>4</v>
      </c>
      <c r="G12" s="51" t="s">
        <v>214</v>
      </c>
      <c r="H12" s="41" t="s">
        <v>167</v>
      </c>
    </row>
    <row r="13" spans="2:18" s="28" customFormat="1" ht="19.5" customHeight="1" x14ac:dyDescent="0.2">
      <c r="B13" s="59" t="s">
        <v>124</v>
      </c>
      <c r="C13" s="42"/>
      <c r="D13" s="59" t="s">
        <v>145</v>
      </c>
      <c r="E13" s="51" t="s">
        <v>153</v>
      </c>
      <c r="F13" s="52">
        <v>1</v>
      </c>
      <c r="G13" s="51" t="s">
        <v>67</v>
      </c>
      <c r="H13" s="41"/>
    </row>
    <row r="14" spans="2:18" s="28" customFormat="1" ht="19.5" customHeight="1" x14ac:dyDescent="0.2">
      <c r="B14" s="196"/>
      <c r="C14" s="197"/>
      <c r="D14" s="197"/>
      <c r="E14" s="197"/>
      <c r="F14" s="197"/>
      <c r="G14" s="197"/>
      <c r="H14" s="198"/>
    </row>
    <row r="15" spans="2:18" s="28" customFormat="1" ht="19.5" customHeight="1" x14ac:dyDescent="0.2">
      <c r="B15" s="59" t="s">
        <v>125</v>
      </c>
      <c r="C15" s="42"/>
      <c r="D15" s="59" t="s">
        <v>146</v>
      </c>
      <c r="E15" s="51" t="s">
        <v>216</v>
      </c>
      <c r="F15" s="52">
        <v>4</v>
      </c>
      <c r="G15" s="51" t="s">
        <v>215</v>
      </c>
      <c r="H15" s="41" t="s">
        <v>168</v>
      </c>
    </row>
    <row r="16" spans="2:18" s="28" customFormat="1" ht="19.5" customHeight="1" x14ac:dyDescent="0.2">
      <c r="B16" s="59" t="s">
        <v>126</v>
      </c>
      <c r="C16" s="42"/>
      <c r="D16" s="59" t="s">
        <v>146</v>
      </c>
      <c r="E16" s="51" t="s">
        <v>217</v>
      </c>
      <c r="F16" s="52">
        <v>4</v>
      </c>
      <c r="G16" s="51" t="s">
        <v>215</v>
      </c>
      <c r="H16" s="41" t="s">
        <v>169</v>
      </c>
    </row>
    <row r="17" spans="2:10" s="28" customFormat="1" ht="19.5" customHeight="1" x14ac:dyDescent="0.2">
      <c r="B17" s="59" t="s">
        <v>127</v>
      </c>
      <c r="C17" s="42"/>
      <c r="D17" s="59" t="s">
        <v>146</v>
      </c>
      <c r="E17" s="51" t="s">
        <v>153</v>
      </c>
      <c r="F17" s="52">
        <v>1</v>
      </c>
      <c r="G17" s="51" t="s">
        <v>68</v>
      </c>
      <c r="H17" s="41"/>
    </row>
    <row r="18" spans="2:10" s="28" customFormat="1" ht="19.5" customHeight="1" x14ac:dyDescent="0.2">
      <c r="B18" s="196"/>
      <c r="C18" s="197"/>
      <c r="D18" s="197"/>
      <c r="E18" s="197"/>
      <c r="F18" s="197"/>
      <c r="G18" s="197"/>
      <c r="H18" s="198"/>
    </row>
    <row r="19" spans="2:10" s="28" customFormat="1" ht="19.5" customHeight="1" x14ac:dyDescent="0.2">
      <c r="B19" s="59" t="s">
        <v>128</v>
      </c>
      <c r="C19" s="42"/>
      <c r="D19" s="59" t="s">
        <v>144</v>
      </c>
      <c r="E19" s="51" t="s">
        <v>154</v>
      </c>
      <c r="F19" s="52">
        <v>1</v>
      </c>
      <c r="G19" s="51" t="s">
        <v>45</v>
      </c>
      <c r="H19" s="41"/>
    </row>
    <row r="20" spans="2:10" s="28" customFormat="1" ht="108" x14ac:dyDescent="0.2">
      <c r="B20" s="59" t="s">
        <v>129</v>
      </c>
      <c r="C20" s="42"/>
      <c r="D20" s="59" t="s">
        <v>144</v>
      </c>
      <c r="E20" s="51" t="s">
        <v>155</v>
      </c>
      <c r="F20" s="52" t="s">
        <v>156</v>
      </c>
      <c r="G20" s="51" t="s">
        <v>158</v>
      </c>
      <c r="H20" s="43"/>
    </row>
    <row r="21" spans="2:10" s="28" customFormat="1" ht="19.5" customHeight="1" x14ac:dyDescent="0.2">
      <c r="B21" s="196"/>
      <c r="C21" s="197"/>
      <c r="D21" s="197"/>
      <c r="E21" s="197"/>
      <c r="F21" s="197"/>
      <c r="G21" s="197"/>
      <c r="H21" s="198"/>
    </row>
    <row r="22" spans="2:10" s="28" customFormat="1" ht="19.5" customHeight="1" x14ac:dyDescent="0.2">
      <c r="B22" s="59" t="s">
        <v>200</v>
      </c>
      <c r="C22" s="42"/>
      <c r="D22" s="59" t="s">
        <v>143</v>
      </c>
      <c r="E22" s="51" t="s">
        <v>199</v>
      </c>
      <c r="F22" s="72" t="s">
        <v>159</v>
      </c>
      <c r="G22" s="51" t="s">
        <v>82</v>
      </c>
      <c r="H22" s="43"/>
    </row>
    <row r="23" spans="2:10" s="28" customFormat="1" ht="19.5" customHeight="1" x14ac:dyDescent="0.2">
      <c r="B23" s="59" t="s">
        <v>201</v>
      </c>
      <c r="C23" s="42"/>
      <c r="D23" s="59" t="s">
        <v>144</v>
      </c>
      <c r="E23" s="51" t="s">
        <v>199</v>
      </c>
      <c r="F23" s="72" t="s">
        <v>159</v>
      </c>
      <c r="G23" s="51" t="s">
        <v>85</v>
      </c>
      <c r="H23" s="43"/>
    </row>
    <row r="24" spans="2:10" s="28" customFormat="1" ht="19.5" customHeight="1" x14ac:dyDescent="0.2">
      <c r="B24" s="39"/>
      <c r="C24" s="39"/>
      <c r="D24" s="39"/>
      <c r="E24" s="40"/>
      <c r="F24" s="16"/>
      <c r="G24" s="40"/>
      <c r="H24" s="16"/>
    </row>
    <row r="25" spans="2:10" s="28" customFormat="1" ht="19.5" customHeight="1" x14ac:dyDescent="0.2">
      <c r="B25" s="193" t="s">
        <v>130</v>
      </c>
      <c r="C25" s="194"/>
      <c r="D25" s="194"/>
      <c r="E25" s="195"/>
      <c r="F25" s="16"/>
      <c r="G25" s="40"/>
      <c r="H25" s="16"/>
    </row>
    <row r="26" spans="2:10" s="28" customFormat="1" ht="39" customHeight="1" x14ac:dyDescent="0.2">
      <c r="B26" s="4" t="s">
        <v>136</v>
      </c>
      <c r="C26" s="6" t="s">
        <v>189</v>
      </c>
      <c r="D26" s="11" t="s">
        <v>137</v>
      </c>
      <c r="E26" s="11" t="s">
        <v>138</v>
      </c>
      <c r="F26" s="11" t="s">
        <v>139</v>
      </c>
      <c r="G26" s="11" t="s">
        <v>142</v>
      </c>
      <c r="H26" s="6" t="s">
        <v>160</v>
      </c>
      <c r="I26" s="192"/>
      <c r="J26" s="192"/>
    </row>
    <row r="27" spans="2:10" s="28" customFormat="1" ht="19.5" customHeight="1" x14ac:dyDescent="0.2">
      <c r="B27" s="59" t="s">
        <v>131</v>
      </c>
      <c r="C27" s="42"/>
      <c r="D27" s="59" t="s">
        <v>145</v>
      </c>
      <c r="E27" s="51" t="s">
        <v>161</v>
      </c>
      <c r="F27" s="52">
        <v>4</v>
      </c>
      <c r="G27" s="51" t="s">
        <v>163</v>
      </c>
      <c r="H27" s="41" t="s">
        <v>164</v>
      </c>
    </row>
    <row r="28" spans="2:10" s="28" customFormat="1" ht="19.5" customHeight="1" x14ac:dyDescent="0.2">
      <c r="B28" s="196"/>
      <c r="C28" s="197"/>
      <c r="D28" s="197"/>
      <c r="E28" s="197"/>
      <c r="F28" s="197"/>
      <c r="G28" s="197"/>
      <c r="H28" s="198"/>
    </row>
    <row r="29" spans="2:10" s="28" customFormat="1" ht="19.5" customHeight="1" x14ac:dyDescent="0.2">
      <c r="B29" s="59" t="s">
        <v>132</v>
      </c>
      <c r="C29" s="42"/>
      <c r="D29" s="59" t="s">
        <v>146</v>
      </c>
      <c r="E29" s="51" t="s">
        <v>162</v>
      </c>
      <c r="F29" s="52">
        <v>4</v>
      </c>
      <c r="G29" s="60" t="s">
        <v>163</v>
      </c>
      <c r="H29" s="41" t="s">
        <v>165</v>
      </c>
    </row>
    <row r="30" spans="2:10" s="28" customFormat="1" ht="19.5" customHeight="1" x14ac:dyDescent="0.2">
      <c r="B30" s="39"/>
      <c r="C30" s="39"/>
      <c r="D30" s="39"/>
      <c r="E30" s="40"/>
      <c r="F30" s="16"/>
      <c r="G30" s="40"/>
      <c r="H30" s="16"/>
    </row>
    <row r="31" spans="2:10" s="28" customFormat="1" ht="19.5" customHeight="1" x14ac:dyDescent="0.2">
      <c r="B31" s="193" t="s">
        <v>171</v>
      </c>
      <c r="C31" s="194"/>
      <c r="D31" s="194"/>
      <c r="E31" s="195"/>
      <c r="F31" s="16"/>
      <c r="G31" s="40"/>
      <c r="H31" s="16"/>
    </row>
    <row r="32" spans="2:10" s="28" customFormat="1" ht="19.5" customHeight="1" x14ac:dyDescent="0.2">
      <c r="B32" s="196" t="s">
        <v>174</v>
      </c>
      <c r="C32" s="198"/>
      <c r="D32" s="199" t="s">
        <v>172</v>
      </c>
      <c r="E32" s="200"/>
    </row>
    <row r="33" spans="2:5" s="28" customFormat="1" ht="19.5" customHeight="1" x14ac:dyDescent="0.2">
      <c r="B33" s="196" t="s">
        <v>175</v>
      </c>
      <c r="C33" s="198"/>
      <c r="D33" s="199" t="s">
        <v>177</v>
      </c>
      <c r="E33" s="200"/>
    </row>
    <row r="34" spans="2:5" s="28" customFormat="1" ht="19.5" customHeight="1" x14ac:dyDescent="0.2">
      <c r="B34" s="196" t="s">
        <v>176</v>
      </c>
      <c r="C34" s="198"/>
      <c r="D34" s="199" t="s">
        <v>173</v>
      </c>
      <c r="E34" s="200"/>
    </row>
    <row r="35" spans="2:5" s="28" customFormat="1" x14ac:dyDescent="0.2"/>
    <row r="36" spans="2:5" s="28" customFormat="1" x14ac:dyDescent="0.2"/>
    <row r="37" spans="2:5" s="28" customFormat="1" x14ac:dyDescent="0.2"/>
    <row r="38" spans="2:5" s="28" customFormat="1" x14ac:dyDescent="0.2"/>
    <row r="39" spans="2:5" s="28" customFormat="1" x14ac:dyDescent="0.2"/>
    <row r="40" spans="2:5" s="28" customFormat="1" x14ac:dyDescent="0.2"/>
    <row r="41" spans="2:5" s="28" customFormat="1" x14ac:dyDescent="0.2"/>
    <row r="42" spans="2:5" s="28" customFormat="1" x14ac:dyDescent="0.2"/>
    <row r="43" spans="2:5" s="28" customFormat="1" x14ac:dyDescent="0.2"/>
    <row r="44" spans="2:5" s="28" customFormat="1" x14ac:dyDescent="0.2"/>
    <row r="45" spans="2:5" s="28" customFormat="1" x14ac:dyDescent="0.2"/>
    <row r="46" spans="2:5" s="28" customFormat="1" x14ac:dyDescent="0.2"/>
    <row r="47" spans="2:5" s="28" customFormat="1" x14ac:dyDescent="0.2"/>
    <row r="48" spans="2:5" s="28" customFormat="1" x14ac:dyDescent="0.2"/>
    <row r="49" s="28" customFormat="1" x14ac:dyDescent="0.2"/>
    <row r="50" s="28" customFormat="1" x14ac:dyDescent="0.2"/>
    <row r="51" s="28" customFormat="1" x14ac:dyDescent="0.2"/>
    <row r="52" s="28" customFormat="1" x14ac:dyDescent="0.2"/>
    <row r="53" s="28" customFormat="1" x14ac:dyDescent="0.2"/>
    <row r="54" s="28" customFormat="1" x14ac:dyDescent="0.2"/>
    <row r="55" s="28" customFormat="1" x14ac:dyDescent="0.2"/>
    <row r="56" s="28" customFormat="1" x14ac:dyDescent="0.2"/>
    <row r="57" s="28" customFormat="1" x14ac:dyDescent="0.2"/>
    <row r="58" s="28" customFormat="1" x14ac:dyDescent="0.2"/>
    <row r="59" s="28" customFormat="1" x14ac:dyDescent="0.2"/>
    <row r="60" s="28" customFormat="1" x14ac:dyDescent="0.2"/>
    <row r="61" s="28" customFormat="1" x14ac:dyDescent="0.2"/>
    <row r="62" s="28" customFormat="1" x14ac:dyDescent="0.2"/>
    <row r="63" s="28" customFormat="1" x14ac:dyDescent="0.2"/>
    <row r="64" s="28" customFormat="1" x14ac:dyDescent="0.2"/>
    <row r="65" s="28" customFormat="1" x14ac:dyDescent="0.2"/>
    <row r="66" s="28" customFormat="1" x14ac:dyDescent="0.2"/>
    <row r="67" s="28" customFormat="1" x14ac:dyDescent="0.2"/>
    <row r="68" s="28" customFormat="1" x14ac:dyDescent="0.2"/>
    <row r="69" s="28" customFormat="1" x14ac:dyDescent="0.2"/>
    <row r="70" s="28" customFormat="1" x14ac:dyDescent="0.2"/>
    <row r="71" s="28" customFormat="1" x14ac:dyDescent="0.2"/>
    <row r="72" s="28" customFormat="1" x14ac:dyDescent="0.2"/>
    <row r="73" s="28" customFormat="1" x14ac:dyDescent="0.2"/>
    <row r="74" s="28" customFormat="1" x14ac:dyDescent="0.2"/>
    <row r="75" s="28" customFormat="1" x14ac:dyDescent="0.2"/>
    <row r="76" s="28" customFormat="1" x14ac:dyDescent="0.2"/>
    <row r="77" s="28" customFormat="1" x14ac:dyDescent="0.2"/>
    <row r="78" s="28" customFormat="1" x14ac:dyDescent="0.2"/>
    <row r="79" s="28" customFormat="1" x14ac:dyDescent="0.2"/>
    <row r="80" s="28" customFormat="1" x14ac:dyDescent="0.2"/>
    <row r="81" s="28" customFormat="1" x14ac:dyDescent="0.2"/>
    <row r="82" s="28" customFormat="1" x14ac:dyDescent="0.2"/>
    <row r="83" s="28" customFormat="1" x14ac:dyDescent="0.2"/>
    <row r="84" s="28" customFormat="1" x14ac:dyDescent="0.2"/>
    <row r="85" s="28" customFormat="1" x14ac:dyDescent="0.2"/>
    <row r="86" s="28" customFormat="1" x14ac:dyDescent="0.2"/>
    <row r="87" s="28" customFormat="1" x14ac:dyDescent="0.2"/>
    <row r="88" s="28" customFormat="1" x14ac:dyDescent="0.2"/>
    <row r="89" s="28" customFormat="1" x14ac:dyDescent="0.2"/>
    <row r="90" s="28" customFormat="1" x14ac:dyDescent="0.2"/>
    <row r="91" s="28" customFormat="1" x14ac:dyDescent="0.2"/>
    <row r="92" s="28" customFormat="1" x14ac:dyDescent="0.2"/>
    <row r="93" s="28" customFormat="1" x14ac:dyDescent="0.2"/>
    <row r="94" s="28" customFormat="1" x14ac:dyDescent="0.2"/>
    <row r="95" s="28" customFormat="1" x14ac:dyDescent="0.2"/>
    <row r="96" s="28" customFormat="1" x14ac:dyDescent="0.2"/>
    <row r="97" s="28" customFormat="1" x14ac:dyDescent="0.2"/>
    <row r="98" s="28" customFormat="1" x14ac:dyDescent="0.2"/>
    <row r="99" s="28" customFormat="1" x14ac:dyDescent="0.2"/>
    <row r="100" s="28" customFormat="1" x14ac:dyDescent="0.2"/>
    <row r="101" s="28" customFormat="1" x14ac:dyDescent="0.2"/>
    <row r="102" s="28" customFormat="1" x14ac:dyDescent="0.2"/>
    <row r="103" s="28" customFormat="1" x14ac:dyDescent="0.2"/>
    <row r="104" s="28" customFormat="1" x14ac:dyDescent="0.2"/>
    <row r="105" s="28" customFormat="1" x14ac:dyDescent="0.2"/>
    <row r="106" s="28" customFormat="1" x14ac:dyDescent="0.2"/>
    <row r="107" s="28" customFormat="1" x14ac:dyDescent="0.2"/>
    <row r="108" s="28" customFormat="1" x14ac:dyDescent="0.2"/>
    <row r="109" s="28" customFormat="1" x14ac:dyDescent="0.2"/>
    <row r="110" s="28" customFormat="1" x14ac:dyDescent="0.2"/>
    <row r="111" s="28" customFormat="1" x14ac:dyDescent="0.2"/>
    <row r="112" s="28" customFormat="1" x14ac:dyDescent="0.2"/>
    <row r="113" s="28" customFormat="1" x14ac:dyDescent="0.2"/>
    <row r="114" s="28" customFormat="1" x14ac:dyDescent="0.2"/>
    <row r="115" s="28" customFormat="1" x14ac:dyDescent="0.2"/>
    <row r="116" s="28" customFormat="1" x14ac:dyDescent="0.2"/>
    <row r="117" s="28" customFormat="1" x14ac:dyDescent="0.2"/>
    <row r="118" s="28" customFormat="1" x14ac:dyDescent="0.2"/>
    <row r="119" s="28" customFormat="1" x14ac:dyDescent="0.2"/>
    <row r="120" s="28" customFormat="1" x14ac:dyDescent="0.2"/>
    <row r="121" s="28" customFormat="1" x14ac:dyDescent="0.2"/>
    <row r="122" s="28" customFormat="1" x14ac:dyDescent="0.2"/>
    <row r="123" s="28" customFormat="1" x14ac:dyDescent="0.2"/>
    <row r="124" s="28" customFormat="1" x14ac:dyDescent="0.2"/>
    <row r="125" s="28" customFormat="1" x14ac:dyDescent="0.2"/>
    <row r="126" s="28" customFormat="1" x14ac:dyDescent="0.2"/>
    <row r="127" s="28" customFormat="1" x14ac:dyDescent="0.2"/>
    <row r="128" s="28" customFormat="1" x14ac:dyDescent="0.2"/>
    <row r="129" s="28" customFormat="1" x14ac:dyDescent="0.2"/>
    <row r="130" s="28" customFormat="1" x14ac:dyDescent="0.2"/>
    <row r="131" s="28" customFormat="1" x14ac:dyDescent="0.2"/>
    <row r="132" s="28" customFormat="1" x14ac:dyDescent="0.2"/>
    <row r="133" s="28" customFormat="1" x14ac:dyDescent="0.2"/>
    <row r="134" s="28" customFormat="1" x14ac:dyDescent="0.2"/>
    <row r="135" s="28" customFormat="1" x14ac:dyDescent="0.2"/>
    <row r="136" s="28" customFormat="1" x14ac:dyDescent="0.2"/>
    <row r="137" s="28" customFormat="1" x14ac:dyDescent="0.2"/>
    <row r="138" s="28" customFormat="1" x14ac:dyDescent="0.2"/>
    <row r="139" s="28" customFormat="1" x14ac:dyDescent="0.2"/>
    <row r="140" s="28" customFormat="1" x14ac:dyDescent="0.2"/>
    <row r="141" s="28" customFormat="1" x14ac:dyDescent="0.2"/>
    <row r="142" s="28" customFormat="1" x14ac:dyDescent="0.2"/>
    <row r="143" s="28" customFormat="1" x14ac:dyDescent="0.2"/>
    <row r="144" s="28" customFormat="1" x14ac:dyDescent="0.2"/>
    <row r="145" s="28" customFormat="1" x14ac:dyDescent="0.2"/>
    <row r="146" s="28" customFormat="1" x14ac:dyDescent="0.2"/>
    <row r="147" s="28" customFormat="1" x14ac:dyDescent="0.2"/>
    <row r="148" s="28" customFormat="1" x14ac:dyDescent="0.2"/>
    <row r="149" s="28" customFormat="1" x14ac:dyDescent="0.2"/>
    <row r="150" s="28" customFormat="1" x14ac:dyDescent="0.2"/>
    <row r="151" s="28" customFormat="1" x14ac:dyDescent="0.2"/>
    <row r="152" s="28" customFormat="1" x14ac:dyDescent="0.2"/>
    <row r="153" s="28" customFormat="1" x14ac:dyDescent="0.2"/>
    <row r="154" s="28" customFormat="1" x14ac:dyDescent="0.2"/>
    <row r="155" s="28" customFormat="1" x14ac:dyDescent="0.2"/>
    <row r="156" s="28" customFormat="1" x14ac:dyDescent="0.2"/>
    <row r="157" s="28" customFormat="1" x14ac:dyDescent="0.2"/>
    <row r="158" s="28" customFormat="1" x14ac:dyDescent="0.2"/>
    <row r="159" s="28" customFormat="1" x14ac:dyDescent="0.2"/>
    <row r="160" s="28" customFormat="1" x14ac:dyDescent="0.2"/>
    <row r="161" s="28" customFormat="1" x14ac:dyDescent="0.2"/>
    <row r="162" s="28" customFormat="1" x14ac:dyDescent="0.2"/>
    <row r="163" s="28" customFormat="1" x14ac:dyDescent="0.2"/>
    <row r="164" s="28" customFormat="1" x14ac:dyDescent="0.2"/>
    <row r="165" s="28" customFormat="1" x14ac:dyDescent="0.2"/>
    <row r="166" s="28" customFormat="1" x14ac:dyDescent="0.2"/>
    <row r="167" s="28" customFormat="1" x14ac:dyDescent="0.2"/>
    <row r="168" s="28" customFormat="1" x14ac:dyDescent="0.2"/>
    <row r="169" s="28" customFormat="1" x14ac:dyDescent="0.2"/>
    <row r="170" s="28" customFormat="1" x14ac:dyDescent="0.2"/>
    <row r="171" s="28" customFormat="1" x14ac:dyDescent="0.2"/>
    <row r="172" s="28" customFormat="1" x14ac:dyDescent="0.2"/>
    <row r="173" s="28" customFormat="1" x14ac:dyDescent="0.2"/>
    <row r="174" s="28" customFormat="1" x14ac:dyDescent="0.2"/>
    <row r="175" s="28" customFormat="1" x14ac:dyDescent="0.2"/>
    <row r="176" s="28" customFormat="1" x14ac:dyDescent="0.2"/>
    <row r="177" s="28" customFormat="1" x14ac:dyDescent="0.2"/>
    <row r="178" s="28" customFormat="1" x14ac:dyDescent="0.2"/>
    <row r="179" s="28" customFormat="1" x14ac:dyDescent="0.2"/>
    <row r="180" s="28" customFormat="1" x14ac:dyDescent="0.2"/>
    <row r="181" s="28" customFormat="1" x14ac:dyDescent="0.2"/>
    <row r="182" s="28" customFormat="1" x14ac:dyDescent="0.2"/>
    <row r="183" s="28" customFormat="1" x14ac:dyDescent="0.2"/>
    <row r="184" s="28" customFormat="1" x14ac:dyDescent="0.2"/>
    <row r="185" s="28" customFormat="1" x14ac:dyDescent="0.2"/>
    <row r="186" s="28" customFormat="1" x14ac:dyDescent="0.2"/>
    <row r="187" s="28" customFormat="1" x14ac:dyDescent="0.2"/>
    <row r="188" s="28" customFormat="1" x14ac:dyDescent="0.2"/>
    <row r="189" s="28" customFormat="1" x14ac:dyDescent="0.2"/>
    <row r="190" s="28" customFormat="1" x14ac:dyDescent="0.2"/>
    <row r="191" s="28" customFormat="1" x14ac:dyDescent="0.2"/>
    <row r="192" s="28" customFormat="1" x14ac:dyDescent="0.2"/>
    <row r="193" s="28" customFormat="1" x14ac:dyDescent="0.2"/>
    <row r="194" s="28" customFormat="1" x14ac:dyDescent="0.2"/>
    <row r="195" s="28" customFormat="1" x14ac:dyDescent="0.2"/>
    <row r="196" s="28" customFormat="1" x14ac:dyDescent="0.2"/>
    <row r="197" s="28" customFormat="1" x14ac:dyDescent="0.2"/>
    <row r="198" s="28" customFormat="1" x14ac:dyDescent="0.2"/>
    <row r="199" s="28" customFormat="1" x14ac:dyDescent="0.2"/>
    <row r="200" s="28" customFormat="1" x14ac:dyDescent="0.2"/>
    <row r="201" s="28" customFormat="1" x14ac:dyDescent="0.2"/>
    <row r="202" s="28" customFormat="1" x14ac:dyDescent="0.2"/>
    <row r="203" s="28" customFormat="1" x14ac:dyDescent="0.2"/>
    <row r="204" s="28" customFormat="1" x14ac:dyDescent="0.2"/>
    <row r="205" s="28" customFormat="1" x14ac:dyDescent="0.2"/>
    <row r="206" s="28" customFormat="1" x14ac:dyDescent="0.2"/>
    <row r="207" s="28" customFormat="1" x14ac:dyDescent="0.2"/>
    <row r="208" s="28" customFormat="1" x14ac:dyDescent="0.2"/>
    <row r="209" s="28" customFormat="1" x14ac:dyDescent="0.2"/>
    <row r="210" s="28" customFormat="1" x14ac:dyDescent="0.2"/>
    <row r="211" s="28" customFormat="1" x14ac:dyDescent="0.2"/>
    <row r="212" s="28" customFormat="1" x14ac:dyDescent="0.2"/>
    <row r="213" s="28" customFormat="1" x14ac:dyDescent="0.2"/>
    <row r="214" s="28" customFormat="1" x14ac:dyDescent="0.2"/>
    <row r="215" s="28" customFormat="1" x14ac:dyDescent="0.2"/>
    <row r="216" s="28" customFormat="1" x14ac:dyDescent="0.2"/>
    <row r="217" s="28" customFormat="1" x14ac:dyDescent="0.2"/>
    <row r="218" s="28" customFormat="1" x14ac:dyDescent="0.2"/>
    <row r="219" s="28" customFormat="1" x14ac:dyDescent="0.2"/>
    <row r="220" s="28" customFormat="1" x14ac:dyDescent="0.2"/>
    <row r="221" s="28" customFormat="1" x14ac:dyDescent="0.2"/>
    <row r="222" s="28" customFormat="1" x14ac:dyDescent="0.2"/>
    <row r="223" s="28" customFormat="1" x14ac:dyDescent="0.2"/>
    <row r="224" s="28" customFormat="1" x14ac:dyDescent="0.2"/>
    <row r="225" s="28" customFormat="1" x14ac:dyDescent="0.2"/>
    <row r="226" s="28" customFormat="1" x14ac:dyDescent="0.2"/>
    <row r="227" s="28" customFormat="1" x14ac:dyDescent="0.2"/>
    <row r="228" s="28" customFormat="1" x14ac:dyDescent="0.2"/>
    <row r="229" s="28" customFormat="1" x14ac:dyDescent="0.2"/>
    <row r="230" s="28" customFormat="1" x14ac:dyDescent="0.2"/>
    <row r="231" s="28" customFormat="1" x14ac:dyDescent="0.2"/>
    <row r="232" s="28" customFormat="1" x14ac:dyDescent="0.2"/>
    <row r="233" s="28" customFormat="1" x14ac:dyDescent="0.2"/>
    <row r="234" s="28" customFormat="1" x14ac:dyDescent="0.2"/>
    <row r="235" s="28" customFormat="1" x14ac:dyDescent="0.2"/>
    <row r="236" s="28" customFormat="1" x14ac:dyDescent="0.2"/>
    <row r="237" s="28" customFormat="1" x14ac:dyDescent="0.2"/>
    <row r="238" s="28" customFormat="1" x14ac:dyDescent="0.2"/>
    <row r="239" s="28" customFormat="1" x14ac:dyDescent="0.2"/>
    <row r="240" s="28" customFormat="1" x14ac:dyDescent="0.2"/>
    <row r="241" s="28" customFormat="1" x14ac:dyDescent="0.2"/>
    <row r="242" s="28" customFormat="1" x14ac:dyDescent="0.2"/>
    <row r="243" s="28" customFormat="1" x14ac:dyDescent="0.2"/>
    <row r="244" s="28" customFormat="1" x14ac:dyDescent="0.2"/>
    <row r="245" s="28" customFormat="1" x14ac:dyDescent="0.2"/>
    <row r="246" s="28" customFormat="1" x14ac:dyDescent="0.2"/>
    <row r="247" s="28" customFormat="1" x14ac:dyDescent="0.2"/>
    <row r="248" s="28" customFormat="1" x14ac:dyDescent="0.2"/>
    <row r="249" s="28" customFormat="1" x14ac:dyDescent="0.2"/>
    <row r="250" s="28" customFormat="1" x14ac:dyDescent="0.2"/>
  </sheetData>
  <mergeCells count="17">
    <mergeCell ref="B31:E31"/>
    <mergeCell ref="B28:H28"/>
    <mergeCell ref="B25:E25"/>
    <mergeCell ref="B34:C34"/>
    <mergeCell ref="B33:C33"/>
    <mergeCell ref="B32:C32"/>
    <mergeCell ref="D34:E34"/>
    <mergeCell ref="D33:E33"/>
    <mergeCell ref="D32:E32"/>
    <mergeCell ref="I26:J26"/>
    <mergeCell ref="I3:J3"/>
    <mergeCell ref="B2:E2"/>
    <mergeCell ref="D1:E1"/>
    <mergeCell ref="B10:H10"/>
    <mergeCell ref="B14:H14"/>
    <mergeCell ref="B18:H18"/>
    <mergeCell ref="B21:H21"/>
  </mergeCells>
  <phoneticPr fontId="3" type="noConversion"/>
  <dataValidations count="1">
    <dataValidation type="list" allowBlank="1" showErrorMessage="1" sqref="C4:C9 C11:C13 C15:C17 C19:C23 C27 C29" xr:uid="{174AB4D9-936F-49CB-B121-093C17C46BD5}">
      <formula1>"Yes,No"</formula1>
    </dataValidation>
  </dataValidations>
  <pageMargins left="0.7" right="0.7" top="0.75" bottom="0.75" header="0.3" footer="0.3"/>
  <pageSetup paperSize="9" orientation="portrait" horizontalDpi="4294967293" verticalDpi="0" r:id="rId1"/>
  <ignoredErrors>
    <ignoredError sqref="F20" twoDigitTextYear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C777B-C8A6-4953-BF0A-29EFBFA12232}">
  <sheetPr>
    <tabColor theme="3" tint="0.59999389629810485"/>
    <pageSetUpPr fitToPage="1"/>
  </sheetPr>
  <dimension ref="A1:BD890"/>
  <sheetViews>
    <sheetView workbookViewId="0"/>
  </sheetViews>
  <sheetFormatPr defaultColWidth="14.42578125" defaultRowHeight="15.75" customHeight="1" x14ac:dyDescent="0.2"/>
  <cols>
    <col min="1" max="1" width="3" style="31" customWidth="1"/>
    <col min="2" max="2" width="8.7109375" style="8" customWidth="1"/>
    <col min="3" max="3" width="20.7109375" customWidth="1"/>
    <col min="4" max="4" width="10.7109375" customWidth="1"/>
    <col min="5" max="5" width="22.7109375" customWidth="1"/>
    <col min="6" max="7" width="15.7109375" customWidth="1"/>
    <col min="8" max="8" width="30.7109375" customWidth="1"/>
    <col min="9" max="9" width="11.7109375" customWidth="1"/>
    <col min="10" max="10" width="15.7109375" customWidth="1"/>
    <col min="11" max="11" width="24.7109375" customWidth="1"/>
    <col min="12" max="12" width="16.7109375" customWidth="1"/>
    <col min="13" max="13" width="15.7109375" customWidth="1"/>
    <col min="14" max="15" width="17.7109375" customWidth="1"/>
    <col min="16" max="16" width="60.7109375" customWidth="1"/>
    <col min="17" max="18" width="14.42578125" customWidth="1"/>
  </cols>
  <sheetData>
    <row r="1" spans="1:56" s="3" customFormat="1" ht="45" customHeight="1" x14ac:dyDescent="0.2">
      <c r="C1" s="2"/>
      <c r="D1" s="201" t="s">
        <v>133</v>
      </c>
      <c r="E1" s="201"/>
      <c r="F1" s="201"/>
      <c r="G1" s="201"/>
      <c r="H1" s="2"/>
      <c r="I1" s="15"/>
      <c r="J1" s="15"/>
      <c r="K1" s="15"/>
      <c r="L1" s="9"/>
      <c r="M1" s="9"/>
      <c r="N1" s="2"/>
      <c r="O1" s="2"/>
      <c r="P1" s="2"/>
      <c r="Q1" s="2"/>
      <c r="R1" s="2"/>
      <c r="S1" s="2"/>
      <c r="T1" s="2"/>
    </row>
    <row r="2" spans="1:56" ht="22.15" customHeight="1" x14ac:dyDescent="0.2">
      <c r="A2" s="34"/>
      <c r="B2" s="14" t="s">
        <v>0</v>
      </c>
      <c r="C2" s="71" t="s">
        <v>5</v>
      </c>
      <c r="D2" s="205" t="s">
        <v>2</v>
      </c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6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</row>
    <row r="3" spans="1:56" ht="55.15" customHeight="1" x14ac:dyDescent="0.25">
      <c r="A3" s="35"/>
      <c r="B3" s="46"/>
      <c r="C3" s="61"/>
      <c r="D3" s="202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4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</row>
    <row r="4" spans="1:56" ht="55.15" customHeight="1" x14ac:dyDescent="0.25">
      <c r="A4" s="35"/>
      <c r="B4" s="13"/>
      <c r="C4" s="61"/>
      <c r="D4" s="202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4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</row>
    <row r="5" spans="1:56" ht="55.15" customHeight="1" x14ac:dyDescent="0.25">
      <c r="A5" s="35"/>
      <c r="B5" s="13"/>
      <c r="C5" s="61"/>
      <c r="D5" s="202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4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</row>
    <row r="6" spans="1:56" ht="55.15" customHeight="1" x14ac:dyDescent="0.25">
      <c r="A6" s="35"/>
      <c r="B6" s="13"/>
      <c r="C6" s="61"/>
      <c r="D6" s="202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4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</row>
    <row r="7" spans="1:56" ht="55.15" customHeight="1" x14ac:dyDescent="0.25">
      <c r="A7" s="35"/>
      <c r="B7" s="13"/>
      <c r="C7" s="61"/>
      <c r="D7" s="202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4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</row>
    <row r="8" spans="1:56" ht="55.15" customHeight="1" x14ac:dyDescent="0.25">
      <c r="A8" s="35"/>
      <c r="B8" s="13"/>
      <c r="C8" s="61"/>
      <c r="D8" s="202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4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</row>
    <row r="9" spans="1:56" s="31" customFormat="1" ht="12.75" x14ac:dyDescent="0.2">
      <c r="A9" s="34"/>
      <c r="B9" s="37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</row>
    <row r="10" spans="1:56" s="31" customFormat="1" ht="12.75" x14ac:dyDescent="0.2">
      <c r="B10" s="38"/>
    </row>
    <row r="11" spans="1:56" s="31" customFormat="1" ht="12.75" x14ac:dyDescent="0.2">
      <c r="A11" s="34"/>
      <c r="B11" s="37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</row>
    <row r="12" spans="1:56" s="31" customFormat="1" ht="12.75" x14ac:dyDescent="0.2">
      <c r="A12" s="34"/>
      <c r="B12" s="37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</row>
    <row r="13" spans="1:56" s="31" customFormat="1" ht="12.75" x14ac:dyDescent="0.2">
      <c r="A13" s="34"/>
      <c r="B13" s="37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</row>
    <row r="14" spans="1:56" s="31" customFormat="1" ht="12.75" x14ac:dyDescent="0.2">
      <c r="A14" s="34"/>
      <c r="B14" s="37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</row>
    <row r="15" spans="1:56" s="31" customFormat="1" ht="12.75" x14ac:dyDescent="0.2">
      <c r="A15" s="34"/>
      <c r="B15" s="37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</row>
    <row r="16" spans="1:56" s="31" customFormat="1" ht="12.75" x14ac:dyDescent="0.2">
      <c r="A16" s="34"/>
      <c r="B16" s="37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</row>
    <row r="17" spans="1:17" s="31" customFormat="1" ht="12.75" x14ac:dyDescent="0.2">
      <c r="A17" s="34"/>
      <c r="B17" s="37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</row>
    <row r="18" spans="1:17" s="31" customFormat="1" ht="12.75" x14ac:dyDescent="0.2">
      <c r="A18" s="34"/>
      <c r="B18" s="37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</row>
    <row r="19" spans="1:17" s="31" customFormat="1" ht="12.75" x14ac:dyDescent="0.2">
      <c r="A19" s="34"/>
      <c r="B19" s="37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</row>
    <row r="20" spans="1:17" s="31" customFormat="1" ht="12.75" x14ac:dyDescent="0.2">
      <c r="A20" s="34"/>
      <c r="B20" s="37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</row>
    <row r="21" spans="1:17" s="31" customFormat="1" ht="12.75" x14ac:dyDescent="0.2">
      <c r="A21" s="34"/>
      <c r="B21" s="37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</row>
    <row r="22" spans="1:17" s="31" customFormat="1" ht="12.75" x14ac:dyDescent="0.2">
      <c r="A22" s="34"/>
      <c r="B22" s="37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</row>
    <row r="23" spans="1:17" s="31" customFormat="1" ht="12.75" x14ac:dyDescent="0.2">
      <c r="A23" s="34"/>
      <c r="B23" s="37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</row>
    <row r="24" spans="1:17" s="31" customFormat="1" ht="12.75" x14ac:dyDescent="0.2">
      <c r="A24" s="34"/>
      <c r="B24" s="37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</row>
    <row r="25" spans="1:17" s="31" customFormat="1" ht="12.75" x14ac:dyDescent="0.2">
      <c r="A25" s="34"/>
      <c r="B25" s="37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</row>
    <row r="26" spans="1:17" s="31" customFormat="1" ht="12.75" x14ac:dyDescent="0.2">
      <c r="A26" s="34"/>
      <c r="B26" s="37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</row>
    <row r="27" spans="1:17" s="31" customFormat="1" ht="12.75" x14ac:dyDescent="0.2">
      <c r="A27" s="34"/>
      <c r="B27" s="37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</row>
    <row r="28" spans="1:17" s="31" customFormat="1" ht="12.75" x14ac:dyDescent="0.2">
      <c r="A28" s="34"/>
      <c r="B28" s="37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</row>
    <row r="29" spans="1:17" s="31" customFormat="1" ht="12.75" x14ac:dyDescent="0.2">
      <c r="A29" s="34"/>
      <c r="B29" s="37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</row>
    <row r="30" spans="1:17" s="31" customFormat="1" ht="12.75" x14ac:dyDescent="0.2">
      <c r="A30" s="34"/>
      <c r="B30" s="37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</row>
    <row r="31" spans="1:17" s="31" customFormat="1" ht="12.75" x14ac:dyDescent="0.2">
      <c r="A31" s="34"/>
      <c r="B31" s="37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</row>
    <row r="32" spans="1:17" s="31" customFormat="1" ht="12.75" x14ac:dyDescent="0.2">
      <c r="A32" s="34"/>
      <c r="B32" s="37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</row>
    <row r="33" spans="1:17" s="31" customFormat="1" ht="12.75" x14ac:dyDescent="0.2">
      <c r="A33" s="34"/>
      <c r="B33" s="37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</row>
    <row r="34" spans="1:17" s="31" customFormat="1" ht="12.75" x14ac:dyDescent="0.2">
      <c r="A34" s="34"/>
      <c r="B34" s="37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</row>
    <row r="35" spans="1:17" s="31" customFormat="1" ht="12.75" x14ac:dyDescent="0.2">
      <c r="A35" s="34"/>
      <c r="B35" s="37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</row>
    <row r="36" spans="1:17" s="31" customFormat="1" ht="12.75" x14ac:dyDescent="0.2">
      <c r="A36" s="34"/>
      <c r="B36" s="37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</row>
    <row r="37" spans="1:17" s="31" customFormat="1" ht="12.75" x14ac:dyDescent="0.2">
      <c r="A37" s="34"/>
      <c r="B37" s="37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</row>
    <row r="38" spans="1:17" s="31" customFormat="1" ht="12.75" x14ac:dyDescent="0.2">
      <c r="A38" s="34"/>
      <c r="B38" s="37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</row>
    <row r="39" spans="1:17" s="31" customFormat="1" ht="12.75" x14ac:dyDescent="0.2">
      <c r="A39" s="34"/>
      <c r="B39" s="37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</row>
    <row r="40" spans="1:17" s="31" customFormat="1" ht="12.75" x14ac:dyDescent="0.2">
      <c r="A40" s="34"/>
      <c r="B40" s="37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</row>
    <row r="41" spans="1:17" s="31" customFormat="1" ht="12.75" x14ac:dyDescent="0.2">
      <c r="A41" s="34"/>
      <c r="B41" s="37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</row>
    <row r="42" spans="1:17" s="31" customFormat="1" ht="12.75" x14ac:dyDescent="0.2">
      <c r="A42" s="34"/>
      <c r="B42" s="37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</row>
    <row r="43" spans="1:17" s="31" customFormat="1" ht="12.75" x14ac:dyDescent="0.2">
      <c r="A43" s="34"/>
      <c r="B43" s="37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</row>
    <row r="44" spans="1:17" s="31" customFormat="1" ht="12.75" x14ac:dyDescent="0.2">
      <c r="A44" s="34"/>
      <c r="B44" s="37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</row>
    <row r="45" spans="1:17" s="31" customFormat="1" ht="12.75" x14ac:dyDescent="0.2">
      <c r="A45" s="34"/>
      <c r="B45" s="37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</row>
    <row r="46" spans="1:17" s="31" customFormat="1" ht="12.75" x14ac:dyDescent="0.2">
      <c r="A46" s="34"/>
      <c r="B46" s="37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</row>
    <row r="47" spans="1:17" s="31" customFormat="1" ht="12.75" x14ac:dyDescent="0.2">
      <c r="A47" s="34"/>
      <c r="B47" s="37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</row>
    <row r="48" spans="1:17" s="31" customFormat="1" ht="12.75" x14ac:dyDescent="0.2">
      <c r="A48" s="34"/>
      <c r="B48" s="37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</row>
    <row r="49" spans="1:17" s="31" customFormat="1" ht="12.75" x14ac:dyDescent="0.2">
      <c r="A49" s="34"/>
      <c r="B49" s="37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</row>
    <row r="50" spans="1:17" s="31" customFormat="1" ht="12.75" x14ac:dyDescent="0.2">
      <c r="A50" s="34"/>
      <c r="B50" s="37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</row>
    <row r="51" spans="1:17" s="31" customFormat="1" ht="12.75" x14ac:dyDescent="0.2">
      <c r="A51" s="34"/>
      <c r="B51" s="37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</row>
    <row r="52" spans="1:17" s="31" customFormat="1" ht="12.75" x14ac:dyDescent="0.2">
      <c r="A52" s="34"/>
      <c r="B52" s="37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</row>
    <row r="53" spans="1:17" s="31" customFormat="1" ht="12.75" x14ac:dyDescent="0.2">
      <c r="A53" s="34"/>
      <c r="B53" s="37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</row>
    <row r="54" spans="1:17" s="31" customFormat="1" ht="12.75" x14ac:dyDescent="0.2">
      <c r="A54" s="34"/>
      <c r="B54" s="37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</row>
    <row r="55" spans="1:17" s="31" customFormat="1" ht="12.75" x14ac:dyDescent="0.2">
      <c r="A55" s="34"/>
      <c r="B55" s="37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</row>
    <row r="56" spans="1:17" s="31" customFormat="1" ht="12.75" x14ac:dyDescent="0.2">
      <c r="A56" s="34"/>
      <c r="B56" s="37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</row>
    <row r="57" spans="1:17" s="31" customFormat="1" ht="12.75" x14ac:dyDescent="0.2">
      <c r="A57" s="34"/>
      <c r="B57" s="37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</row>
    <row r="58" spans="1:17" s="31" customFormat="1" ht="12.75" x14ac:dyDescent="0.2">
      <c r="A58" s="34"/>
      <c r="B58" s="37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</row>
    <row r="59" spans="1:17" s="31" customFormat="1" ht="12.75" x14ac:dyDescent="0.2">
      <c r="A59" s="34"/>
      <c r="B59" s="37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</row>
    <row r="60" spans="1:17" s="31" customFormat="1" ht="12.75" x14ac:dyDescent="0.2">
      <c r="A60" s="34"/>
      <c r="B60" s="37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</row>
    <row r="61" spans="1:17" s="31" customFormat="1" ht="12.75" x14ac:dyDescent="0.2">
      <c r="A61" s="34"/>
      <c r="B61" s="37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</row>
    <row r="62" spans="1:17" s="31" customFormat="1" ht="12.75" x14ac:dyDescent="0.2">
      <c r="A62" s="34"/>
      <c r="B62" s="37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</row>
    <row r="63" spans="1:17" s="31" customFormat="1" ht="12.75" x14ac:dyDescent="0.2">
      <c r="A63" s="34"/>
      <c r="B63" s="37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</row>
    <row r="64" spans="1:17" s="31" customFormat="1" ht="12.75" x14ac:dyDescent="0.2">
      <c r="A64" s="34"/>
      <c r="B64" s="37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</row>
    <row r="65" spans="1:17" s="31" customFormat="1" ht="12.75" x14ac:dyDescent="0.2">
      <c r="A65" s="34"/>
      <c r="B65" s="37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</row>
    <row r="66" spans="1:17" s="31" customFormat="1" ht="12.75" x14ac:dyDescent="0.2">
      <c r="A66" s="34"/>
      <c r="B66" s="37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</row>
    <row r="67" spans="1:17" s="31" customFormat="1" ht="12.75" x14ac:dyDescent="0.2">
      <c r="A67" s="34"/>
      <c r="B67" s="37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</row>
    <row r="68" spans="1:17" s="31" customFormat="1" ht="12.75" x14ac:dyDescent="0.2">
      <c r="A68" s="34"/>
      <c r="B68" s="37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</row>
    <row r="69" spans="1:17" s="31" customFormat="1" ht="12.75" x14ac:dyDescent="0.2">
      <c r="A69" s="34"/>
      <c r="B69" s="37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</row>
    <row r="70" spans="1:17" s="31" customFormat="1" ht="12.75" x14ac:dyDescent="0.2">
      <c r="A70" s="34"/>
      <c r="B70" s="37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</row>
    <row r="71" spans="1:17" s="31" customFormat="1" ht="12.75" x14ac:dyDescent="0.2">
      <c r="A71" s="34"/>
      <c r="B71" s="37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</row>
    <row r="72" spans="1:17" s="31" customFormat="1" ht="12.75" x14ac:dyDescent="0.2">
      <c r="A72" s="34"/>
      <c r="B72" s="37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</row>
    <row r="73" spans="1:17" s="31" customFormat="1" ht="12.75" x14ac:dyDescent="0.2">
      <c r="A73" s="34"/>
      <c r="B73" s="37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</row>
    <row r="74" spans="1:17" s="31" customFormat="1" ht="12.75" x14ac:dyDescent="0.2">
      <c r="A74" s="34"/>
      <c r="B74" s="37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</row>
    <row r="75" spans="1:17" s="31" customFormat="1" ht="12.75" x14ac:dyDescent="0.2">
      <c r="A75" s="34"/>
      <c r="B75" s="37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</row>
    <row r="76" spans="1:17" s="31" customFormat="1" ht="12.75" x14ac:dyDescent="0.2">
      <c r="A76" s="34"/>
      <c r="B76" s="37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</row>
    <row r="77" spans="1:17" s="31" customFormat="1" ht="12.75" x14ac:dyDescent="0.2">
      <c r="A77" s="34"/>
      <c r="B77" s="37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</row>
    <row r="78" spans="1:17" s="31" customFormat="1" ht="12.75" x14ac:dyDescent="0.2">
      <c r="A78" s="34"/>
      <c r="B78" s="37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</row>
    <row r="79" spans="1:17" s="31" customFormat="1" ht="12.75" x14ac:dyDescent="0.2">
      <c r="A79" s="34"/>
      <c r="B79" s="37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</row>
    <row r="80" spans="1:17" s="31" customFormat="1" ht="12.75" x14ac:dyDescent="0.2">
      <c r="A80" s="34"/>
      <c r="B80" s="37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</row>
    <row r="81" spans="1:17" s="31" customFormat="1" ht="12.75" x14ac:dyDescent="0.2">
      <c r="A81" s="34"/>
      <c r="B81" s="37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</row>
    <row r="82" spans="1:17" s="31" customFormat="1" ht="12.75" x14ac:dyDescent="0.2">
      <c r="A82" s="34"/>
      <c r="B82" s="37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</row>
    <row r="83" spans="1:17" s="31" customFormat="1" ht="12.75" x14ac:dyDescent="0.2">
      <c r="A83" s="34"/>
      <c r="B83" s="37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</row>
    <row r="84" spans="1:17" s="31" customFormat="1" ht="12.75" x14ac:dyDescent="0.2">
      <c r="A84" s="34"/>
      <c r="B84" s="37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</row>
    <row r="85" spans="1:17" s="31" customFormat="1" ht="12.75" x14ac:dyDescent="0.2">
      <c r="A85" s="34"/>
      <c r="B85" s="37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</row>
    <row r="86" spans="1:17" s="31" customFormat="1" ht="12.75" x14ac:dyDescent="0.2">
      <c r="A86" s="34"/>
      <c r="B86" s="37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</row>
    <row r="87" spans="1:17" s="31" customFormat="1" ht="12.75" x14ac:dyDescent="0.2">
      <c r="A87" s="34"/>
      <c r="B87" s="37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</row>
    <row r="88" spans="1:17" s="31" customFormat="1" ht="12.75" x14ac:dyDescent="0.2">
      <c r="A88" s="34"/>
      <c r="B88" s="37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</row>
    <row r="89" spans="1:17" s="31" customFormat="1" ht="12.75" x14ac:dyDescent="0.2">
      <c r="A89" s="34"/>
      <c r="B89" s="37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</row>
    <row r="90" spans="1:17" s="31" customFormat="1" ht="12.75" x14ac:dyDescent="0.2">
      <c r="A90" s="34"/>
      <c r="B90" s="37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</row>
    <row r="91" spans="1:17" s="31" customFormat="1" ht="12.75" x14ac:dyDescent="0.2">
      <c r="A91" s="34"/>
      <c r="B91" s="37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</row>
    <row r="92" spans="1:17" s="31" customFormat="1" ht="12.75" x14ac:dyDescent="0.2">
      <c r="A92" s="34"/>
      <c r="B92" s="37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</row>
    <row r="93" spans="1:17" s="31" customFormat="1" ht="12.75" x14ac:dyDescent="0.2">
      <c r="A93" s="34"/>
      <c r="B93" s="37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</row>
    <row r="94" spans="1:17" s="31" customFormat="1" ht="12.75" x14ac:dyDescent="0.2">
      <c r="A94" s="34"/>
      <c r="B94" s="37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</row>
    <row r="95" spans="1:17" s="31" customFormat="1" ht="12.75" x14ac:dyDescent="0.2">
      <c r="A95" s="34"/>
      <c r="B95" s="37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</row>
    <row r="96" spans="1:17" s="31" customFormat="1" ht="12.75" x14ac:dyDescent="0.2">
      <c r="A96" s="34"/>
      <c r="B96" s="37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</row>
    <row r="97" spans="1:17" s="31" customFormat="1" ht="12.75" x14ac:dyDescent="0.2">
      <c r="A97" s="34"/>
      <c r="B97" s="37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</row>
    <row r="98" spans="1:17" s="31" customFormat="1" ht="12.75" x14ac:dyDescent="0.2">
      <c r="A98" s="34"/>
      <c r="B98" s="37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</row>
    <row r="99" spans="1:17" s="31" customFormat="1" ht="12.75" x14ac:dyDescent="0.2">
      <c r="A99" s="34"/>
      <c r="B99" s="37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</row>
    <row r="100" spans="1:17" s="31" customFormat="1" ht="12.75" x14ac:dyDescent="0.2">
      <c r="A100" s="34"/>
      <c r="B100" s="37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</row>
    <row r="101" spans="1:17" s="31" customFormat="1" ht="12.75" x14ac:dyDescent="0.2">
      <c r="A101" s="34"/>
      <c r="B101" s="37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</row>
    <row r="102" spans="1:17" s="31" customFormat="1" ht="12.75" x14ac:dyDescent="0.2">
      <c r="A102" s="34"/>
      <c r="B102" s="37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</row>
    <row r="103" spans="1:17" s="31" customFormat="1" ht="12.75" x14ac:dyDescent="0.2">
      <c r="A103" s="34"/>
      <c r="B103" s="37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</row>
    <row r="104" spans="1:17" s="31" customFormat="1" ht="12.75" x14ac:dyDescent="0.2">
      <c r="A104" s="34"/>
      <c r="B104" s="37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</row>
    <row r="105" spans="1:17" s="31" customFormat="1" ht="12.75" x14ac:dyDescent="0.2">
      <c r="A105" s="34"/>
      <c r="B105" s="37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</row>
    <row r="106" spans="1:17" s="31" customFormat="1" ht="12.75" x14ac:dyDescent="0.2">
      <c r="A106" s="34"/>
      <c r="B106" s="37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</row>
    <row r="107" spans="1:17" s="31" customFormat="1" ht="12.75" x14ac:dyDescent="0.2">
      <c r="A107" s="34"/>
      <c r="B107" s="37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</row>
    <row r="108" spans="1:17" s="31" customFormat="1" ht="12.75" x14ac:dyDescent="0.2">
      <c r="A108" s="34"/>
      <c r="B108" s="37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</row>
    <row r="109" spans="1:17" s="31" customFormat="1" ht="12.75" x14ac:dyDescent="0.2">
      <c r="A109" s="34"/>
      <c r="B109" s="37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</row>
    <row r="110" spans="1:17" s="31" customFormat="1" ht="12.75" x14ac:dyDescent="0.2">
      <c r="A110" s="34"/>
      <c r="B110" s="37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</row>
    <row r="111" spans="1:17" s="31" customFormat="1" ht="12.75" x14ac:dyDescent="0.2">
      <c r="A111" s="34"/>
      <c r="B111" s="37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</row>
    <row r="112" spans="1:17" s="31" customFormat="1" ht="12.75" x14ac:dyDescent="0.2">
      <c r="A112" s="34"/>
      <c r="B112" s="37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</row>
    <row r="113" spans="1:17" s="31" customFormat="1" ht="12.75" x14ac:dyDescent="0.2">
      <c r="A113" s="34"/>
      <c r="B113" s="37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</row>
    <row r="114" spans="1:17" s="31" customFormat="1" ht="12.75" x14ac:dyDescent="0.2">
      <c r="A114" s="34"/>
      <c r="B114" s="37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</row>
    <row r="115" spans="1:17" s="31" customFormat="1" ht="12.75" x14ac:dyDescent="0.2">
      <c r="A115" s="34"/>
      <c r="B115" s="37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</row>
    <row r="116" spans="1:17" s="31" customFormat="1" ht="12.75" x14ac:dyDescent="0.2">
      <c r="A116" s="34"/>
      <c r="B116" s="37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</row>
    <row r="117" spans="1:17" s="31" customFormat="1" ht="12.75" x14ac:dyDescent="0.2">
      <c r="A117" s="34"/>
      <c r="B117" s="37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</row>
    <row r="118" spans="1:17" s="31" customFormat="1" ht="12.75" x14ac:dyDescent="0.2">
      <c r="A118" s="34"/>
      <c r="B118" s="37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</row>
    <row r="119" spans="1:17" s="31" customFormat="1" ht="12.75" x14ac:dyDescent="0.2">
      <c r="A119" s="34"/>
      <c r="B119" s="37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</row>
    <row r="120" spans="1:17" s="31" customFormat="1" ht="12.75" x14ac:dyDescent="0.2">
      <c r="A120" s="34"/>
      <c r="B120" s="37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</row>
    <row r="121" spans="1:17" s="31" customFormat="1" ht="12.75" x14ac:dyDescent="0.2">
      <c r="A121" s="34"/>
      <c r="B121" s="37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</row>
    <row r="122" spans="1:17" s="31" customFormat="1" ht="12.75" x14ac:dyDescent="0.2">
      <c r="A122" s="34"/>
      <c r="B122" s="37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</row>
    <row r="123" spans="1:17" s="31" customFormat="1" ht="12.75" x14ac:dyDescent="0.2">
      <c r="A123" s="34"/>
      <c r="B123" s="37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</row>
    <row r="124" spans="1:17" s="31" customFormat="1" ht="12.75" x14ac:dyDescent="0.2">
      <c r="A124" s="34"/>
      <c r="B124" s="37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</row>
    <row r="125" spans="1:17" s="31" customFormat="1" ht="12.75" x14ac:dyDescent="0.2">
      <c r="A125" s="34"/>
      <c r="B125" s="37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</row>
    <row r="126" spans="1:17" s="31" customFormat="1" ht="12.75" x14ac:dyDescent="0.2">
      <c r="A126" s="34"/>
      <c r="B126" s="37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</row>
    <row r="127" spans="1:17" s="31" customFormat="1" ht="12.75" x14ac:dyDescent="0.2">
      <c r="A127" s="34"/>
      <c r="B127" s="37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</row>
    <row r="128" spans="1:17" s="31" customFormat="1" ht="12.75" x14ac:dyDescent="0.2">
      <c r="A128" s="34"/>
      <c r="B128" s="37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</row>
    <row r="129" spans="1:17" s="31" customFormat="1" ht="12.75" x14ac:dyDescent="0.2">
      <c r="A129" s="34"/>
      <c r="B129" s="37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</row>
    <row r="130" spans="1:17" s="31" customFormat="1" ht="12.75" x14ac:dyDescent="0.2">
      <c r="A130" s="34"/>
      <c r="B130" s="37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</row>
    <row r="131" spans="1:17" s="31" customFormat="1" ht="12.75" x14ac:dyDescent="0.2">
      <c r="A131" s="34"/>
      <c r="B131" s="37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</row>
    <row r="132" spans="1:17" s="31" customFormat="1" ht="12.75" x14ac:dyDescent="0.2">
      <c r="A132" s="34"/>
      <c r="B132" s="37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</row>
    <row r="133" spans="1:17" s="31" customFormat="1" ht="12.75" x14ac:dyDescent="0.2">
      <c r="A133" s="34"/>
      <c r="B133" s="37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</row>
    <row r="134" spans="1:17" s="31" customFormat="1" ht="12.75" x14ac:dyDescent="0.2">
      <c r="A134" s="34"/>
      <c r="B134" s="37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</row>
    <row r="135" spans="1:17" s="31" customFormat="1" ht="12.75" x14ac:dyDescent="0.2">
      <c r="A135" s="34"/>
      <c r="B135" s="37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</row>
    <row r="136" spans="1:17" s="31" customFormat="1" ht="12.75" x14ac:dyDescent="0.2">
      <c r="A136" s="34"/>
      <c r="B136" s="37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</row>
    <row r="137" spans="1:17" s="31" customFormat="1" ht="12.75" x14ac:dyDescent="0.2">
      <c r="A137" s="34"/>
      <c r="B137" s="37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</row>
    <row r="138" spans="1:17" s="31" customFormat="1" ht="12.75" x14ac:dyDescent="0.2">
      <c r="A138" s="34"/>
      <c r="B138" s="37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</row>
    <row r="139" spans="1:17" s="31" customFormat="1" ht="12.75" x14ac:dyDescent="0.2">
      <c r="A139" s="34"/>
      <c r="B139" s="37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</row>
    <row r="140" spans="1:17" s="31" customFormat="1" ht="12.75" x14ac:dyDescent="0.2">
      <c r="A140" s="34"/>
      <c r="B140" s="37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</row>
    <row r="141" spans="1:17" s="31" customFormat="1" ht="12.75" x14ac:dyDescent="0.2">
      <c r="A141" s="34"/>
      <c r="B141" s="37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</row>
    <row r="142" spans="1:17" s="31" customFormat="1" ht="12.75" x14ac:dyDescent="0.2">
      <c r="A142" s="34"/>
      <c r="B142" s="37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</row>
    <row r="143" spans="1:17" s="31" customFormat="1" ht="12.75" x14ac:dyDescent="0.2">
      <c r="A143" s="34"/>
      <c r="B143" s="37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</row>
    <row r="144" spans="1:17" s="31" customFormat="1" ht="12.75" x14ac:dyDescent="0.2">
      <c r="A144" s="34"/>
      <c r="B144" s="37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</row>
    <row r="145" spans="1:17" s="31" customFormat="1" ht="12.75" x14ac:dyDescent="0.2">
      <c r="A145" s="34"/>
      <c r="B145" s="37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</row>
    <row r="146" spans="1:17" s="31" customFormat="1" ht="12.75" x14ac:dyDescent="0.2">
      <c r="A146" s="34"/>
      <c r="B146" s="37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</row>
    <row r="147" spans="1:17" s="31" customFormat="1" ht="12.75" x14ac:dyDescent="0.2">
      <c r="A147" s="34"/>
      <c r="B147" s="37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</row>
    <row r="148" spans="1:17" s="31" customFormat="1" ht="12.75" x14ac:dyDescent="0.2">
      <c r="A148" s="34"/>
      <c r="B148" s="37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</row>
    <row r="149" spans="1:17" s="31" customFormat="1" ht="12.75" x14ac:dyDescent="0.2">
      <c r="A149" s="34"/>
      <c r="B149" s="37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</row>
    <row r="150" spans="1:17" s="31" customFormat="1" ht="12.75" x14ac:dyDescent="0.2">
      <c r="A150" s="34"/>
      <c r="B150" s="37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</row>
    <row r="151" spans="1:17" s="31" customFormat="1" ht="12.75" x14ac:dyDescent="0.2">
      <c r="A151" s="34"/>
      <c r="B151" s="37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</row>
    <row r="152" spans="1:17" s="31" customFormat="1" ht="12.75" x14ac:dyDescent="0.2">
      <c r="A152" s="34"/>
      <c r="B152" s="37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</row>
    <row r="153" spans="1:17" s="31" customFormat="1" ht="12.75" x14ac:dyDescent="0.2">
      <c r="A153" s="34"/>
      <c r="B153" s="37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</row>
    <row r="154" spans="1:17" s="31" customFormat="1" ht="12.75" x14ac:dyDescent="0.2">
      <c r="A154" s="34"/>
      <c r="B154" s="37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</row>
    <row r="155" spans="1:17" s="31" customFormat="1" ht="12.75" x14ac:dyDescent="0.2">
      <c r="A155" s="34"/>
      <c r="B155" s="37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</row>
    <row r="156" spans="1:17" s="31" customFormat="1" ht="12.75" x14ac:dyDescent="0.2">
      <c r="A156" s="34"/>
      <c r="B156" s="37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</row>
    <row r="157" spans="1:17" s="31" customFormat="1" ht="12.75" x14ac:dyDescent="0.2">
      <c r="A157" s="34"/>
      <c r="B157" s="37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</row>
    <row r="158" spans="1:17" s="31" customFormat="1" ht="12.75" x14ac:dyDescent="0.2">
      <c r="A158" s="34"/>
      <c r="B158" s="37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</row>
    <row r="159" spans="1:17" s="31" customFormat="1" ht="12.75" x14ac:dyDescent="0.2">
      <c r="A159" s="34"/>
      <c r="B159" s="37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</row>
    <row r="160" spans="1:17" s="31" customFormat="1" ht="12.75" x14ac:dyDescent="0.2">
      <c r="A160" s="34"/>
      <c r="B160" s="37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</row>
    <row r="161" spans="1:17" s="31" customFormat="1" ht="12.75" x14ac:dyDescent="0.2">
      <c r="A161" s="34"/>
      <c r="B161" s="37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</row>
    <row r="162" spans="1:17" s="31" customFormat="1" ht="12.75" x14ac:dyDescent="0.2">
      <c r="A162" s="34"/>
      <c r="B162" s="37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</row>
    <row r="163" spans="1:17" s="31" customFormat="1" ht="12.75" x14ac:dyDescent="0.2">
      <c r="A163" s="34"/>
      <c r="B163" s="37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</row>
    <row r="164" spans="1:17" s="31" customFormat="1" ht="12.75" x14ac:dyDescent="0.2">
      <c r="A164" s="34"/>
      <c r="B164" s="37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</row>
    <row r="165" spans="1:17" s="31" customFormat="1" ht="12.75" x14ac:dyDescent="0.2">
      <c r="A165" s="34"/>
      <c r="B165" s="37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</row>
    <row r="166" spans="1:17" s="31" customFormat="1" ht="12.75" x14ac:dyDescent="0.2">
      <c r="A166" s="34"/>
      <c r="B166" s="37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</row>
    <row r="167" spans="1:17" s="31" customFormat="1" ht="12.75" x14ac:dyDescent="0.2">
      <c r="A167" s="34"/>
      <c r="B167" s="37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</row>
    <row r="168" spans="1:17" s="31" customFormat="1" ht="12.75" x14ac:dyDescent="0.2">
      <c r="A168" s="34"/>
      <c r="B168" s="37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</row>
    <row r="169" spans="1:17" s="31" customFormat="1" ht="12.75" x14ac:dyDescent="0.2">
      <c r="A169" s="34"/>
      <c r="B169" s="37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</row>
    <row r="170" spans="1:17" s="31" customFormat="1" ht="12.75" x14ac:dyDescent="0.2">
      <c r="A170" s="34"/>
      <c r="B170" s="37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</row>
    <row r="171" spans="1:17" s="31" customFormat="1" ht="12.75" x14ac:dyDescent="0.2">
      <c r="A171" s="34"/>
      <c r="B171" s="37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</row>
    <row r="172" spans="1:17" s="31" customFormat="1" ht="12.75" x14ac:dyDescent="0.2">
      <c r="A172" s="34"/>
      <c r="B172" s="37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</row>
    <row r="173" spans="1:17" s="31" customFormat="1" ht="12.75" x14ac:dyDescent="0.2">
      <c r="A173" s="34"/>
      <c r="B173" s="37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</row>
    <row r="174" spans="1:17" s="31" customFormat="1" ht="12.75" x14ac:dyDescent="0.2">
      <c r="A174" s="34"/>
      <c r="B174" s="37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</row>
    <row r="175" spans="1:17" s="31" customFormat="1" ht="12.75" x14ac:dyDescent="0.2">
      <c r="A175" s="34"/>
      <c r="B175" s="37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</row>
    <row r="176" spans="1:17" s="31" customFormat="1" ht="12.75" x14ac:dyDescent="0.2">
      <c r="A176" s="34"/>
      <c r="B176" s="37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</row>
    <row r="177" spans="1:17" s="31" customFormat="1" ht="12.75" x14ac:dyDescent="0.2">
      <c r="A177" s="34"/>
      <c r="B177" s="37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</row>
    <row r="178" spans="1:17" s="31" customFormat="1" ht="12.75" x14ac:dyDescent="0.2">
      <c r="A178" s="34"/>
      <c r="B178" s="37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</row>
    <row r="179" spans="1:17" s="31" customFormat="1" ht="12.75" x14ac:dyDescent="0.2">
      <c r="A179" s="34"/>
      <c r="B179" s="37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</row>
    <row r="180" spans="1:17" s="31" customFormat="1" ht="12.75" x14ac:dyDescent="0.2">
      <c r="A180" s="34"/>
      <c r="B180" s="37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</row>
    <row r="181" spans="1:17" s="31" customFormat="1" ht="12.75" x14ac:dyDescent="0.2">
      <c r="A181" s="34"/>
      <c r="B181" s="37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</row>
    <row r="182" spans="1:17" s="31" customFormat="1" ht="12.75" x14ac:dyDescent="0.2">
      <c r="A182" s="34"/>
      <c r="B182" s="37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</row>
    <row r="183" spans="1:17" s="31" customFormat="1" ht="12.75" x14ac:dyDescent="0.2">
      <c r="A183" s="34"/>
      <c r="B183" s="37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</row>
    <row r="184" spans="1:17" s="31" customFormat="1" ht="12.75" x14ac:dyDescent="0.2">
      <c r="A184" s="34"/>
      <c r="B184" s="37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</row>
    <row r="185" spans="1:17" s="31" customFormat="1" ht="12.75" x14ac:dyDescent="0.2">
      <c r="A185" s="34"/>
      <c r="B185" s="37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</row>
    <row r="186" spans="1:17" s="31" customFormat="1" ht="12.75" x14ac:dyDescent="0.2">
      <c r="A186" s="34"/>
      <c r="B186" s="37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</row>
    <row r="187" spans="1:17" s="31" customFormat="1" ht="12.75" x14ac:dyDescent="0.2">
      <c r="A187" s="34"/>
      <c r="B187" s="37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</row>
    <row r="188" spans="1:17" s="31" customFormat="1" ht="12.75" x14ac:dyDescent="0.2">
      <c r="A188" s="34"/>
      <c r="B188" s="37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</row>
    <row r="189" spans="1:17" s="31" customFormat="1" ht="12.75" x14ac:dyDescent="0.2">
      <c r="A189" s="34"/>
      <c r="B189" s="37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</row>
    <row r="190" spans="1:17" s="31" customFormat="1" ht="12.75" x14ac:dyDescent="0.2">
      <c r="A190" s="34"/>
      <c r="B190" s="37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</row>
    <row r="191" spans="1:17" s="31" customFormat="1" ht="12.75" x14ac:dyDescent="0.2">
      <c r="A191" s="34"/>
      <c r="B191" s="37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</row>
    <row r="192" spans="1:17" s="31" customFormat="1" ht="12.75" x14ac:dyDescent="0.2">
      <c r="A192" s="34"/>
      <c r="B192" s="37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</row>
    <row r="193" spans="1:17" s="31" customFormat="1" ht="12.75" x14ac:dyDescent="0.2">
      <c r="A193" s="34"/>
      <c r="B193" s="37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</row>
    <row r="194" spans="1:17" s="31" customFormat="1" ht="12.75" x14ac:dyDescent="0.2">
      <c r="A194" s="34"/>
      <c r="B194" s="37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</row>
    <row r="195" spans="1:17" s="31" customFormat="1" ht="12.75" x14ac:dyDescent="0.2">
      <c r="A195" s="34"/>
      <c r="B195" s="37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</row>
    <row r="196" spans="1:17" s="31" customFormat="1" ht="12.75" x14ac:dyDescent="0.2">
      <c r="A196" s="34"/>
      <c r="B196" s="37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</row>
    <row r="197" spans="1:17" s="31" customFormat="1" ht="12.75" x14ac:dyDescent="0.2">
      <c r="A197" s="34"/>
      <c r="B197" s="37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</row>
    <row r="198" spans="1:17" s="31" customFormat="1" ht="12.75" x14ac:dyDescent="0.2">
      <c r="A198" s="34"/>
      <c r="B198" s="37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</row>
    <row r="199" spans="1:17" s="31" customFormat="1" ht="12.75" x14ac:dyDescent="0.2">
      <c r="A199" s="34"/>
      <c r="B199" s="37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</row>
    <row r="200" spans="1:17" s="31" customFormat="1" ht="12.75" x14ac:dyDescent="0.2">
      <c r="A200" s="34"/>
      <c r="B200" s="37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</row>
    <row r="201" spans="1:17" s="31" customFormat="1" ht="12.75" x14ac:dyDescent="0.2">
      <c r="A201" s="34"/>
      <c r="B201" s="37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</row>
    <row r="202" spans="1:17" s="31" customFormat="1" ht="12.75" x14ac:dyDescent="0.2">
      <c r="A202" s="34"/>
      <c r="B202" s="37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</row>
    <row r="203" spans="1:17" s="31" customFormat="1" ht="12.75" x14ac:dyDescent="0.2">
      <c r="A203" s="34"/>
      <c r="B203" s="37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</row>
    <row r="204" spans="1:17" s="31" customFormat="1" ht="12.75" x14ac:dyDescent="0.2">
      <c r="A204" s="34"/>
      <c r="B204" s="37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</row>
    <row r="205" spans="1:17" s="31" customFormat="1" ht="12.75" x14ac:dyDescent="0.2">
      <c r="A205" s="34"/>
      <c r="B205" s="37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</row>
    <row r="206" spans="1:17" s="31" customFormat="1" ht="12.75" x14ac:dyDescent="0.2">
      <c r="A206" s="34"/>
      <c r="B206" s="37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</row>
    <row r="207" spans="1:17" s="31" customFormat="1" ht="12.75" x14ac:dyDescent="0.2">
      <c r="A207" s="34"/>
      <c r="B207" s="37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</row>
    <row r="208" spans="1:17" s="31" customFormat="1" ht="12.75" x14ac:dyDescent="0.2">
      <c r="A208" s="34"/>
      <c r="B208" s="37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</row>
    <row r="209" spans="1:17" s="31" customFormat="1" ht="12.75" x14ac:dyDescent="0.2">
      <c r="A209" s="34"/>
      <c r="B209" s="37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</row>
    <row r="210" spans="1:17" s="31" customFormat="1" ht="12.75" x14ac:dyDescent="0.2">
      <c r="A210" s="34"/>
      <c r="B210" s="37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</row>
    <row r="211" spans="1:17" s="31" customFormat="1" ht="12.75" x14ac:dyDescent="0.2">
      <c r="A211" s="34"/>
      <c r="B211" s="37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</row>
    <row r="212" spans="1:17" s="31" customFormat="1" ht="12.75" x14ac:dyDescent="0.2">
      <c r="A212" s="34"/>
      <c r="B212" s="37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</row>
    <row r="213" spans="1:17" s="31" customFormat="1" ht="12.75" x14ac:dyDescent="0.2">
      <c r="A213" s="34"/>
      <c r="B213" s="37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</row>
    <row r="214" spans="1:17" s="31" customFormat="1" ht="12.75" x14ac:dyDescent="0.2">
      <c r="A214" s="34"/>
      <c r="B214" s="37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</row>
    <row r="215" spans="1:17" s="31" customFormat="1" ht="12.75" x14ac:dyDescent="0.2">
      <c r="A215" s="34"/>
      <c r="B215" s="37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</row>
    <row r="216" spans="1:17" s="31" customFormat="1" ht="12.75" x14ac:dyDescent="0.2">
      <c r="A216" s="34"/>
      <c r="B216" s="37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</row>
    <row r="217" spans="1:17" ht="12.75" x14ac:dyDescent="0.2">
      <c r="A217" s="34"/>
      <c r="B217" s="7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2.75" x14ac:dyDescent="0.2">
      <c r="A218" s="34"/>
      <c r="B218" s="7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2.75" x14ac:dyDescent="0.2">
      <c r="A219" s="34"/>
      <c r="B219" s="7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2.75" x14ac:dyDescent="0.2">
      <c r="A220" s="34"/>
      <c r="B220" s="7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2.75" x14ac:dyDescent="0.2">
      <c r="A221" s="34"/>
      <c r="B221" s="7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2.75" x14ac:dyDescent="0.2">
      <c r="A222" s="34"/>
      <c r="B222" s="7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2.75" x14ac:dyDescent="0.2">
      <c r="A223" s="34"/>
      <c r="B223" s="7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2.75" x14ac:dyDescent="0.2">
      <c r="A224" s="34"/>
      <c r="B224" s="7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2.75" x14ac:dyDescent="0.2">
      <c r="A225" s="34"/>
      <c r="B225" s="7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2.75" x14ac:dyDescent="0.2">
      <c r="A226" s="34"/>
      <c r="B226" s="7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2.75" x14ac:dyDescent="0.2">
      <c r="A227" s="34"/>
      <c r="B227" s="7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2.75" x14ac:dyDescent="0.2">
      <c r="A228" s="34"/>
      <c r="B228" s="7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2.75" x14ac:dyDescent="0.2">
      <c r="A229" s="34"/>
      <c r="B229" s="7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2.75" x14ac:dyDescent="0.2">
      <c r="A230" s="34"/>
      <c r="B230" s="7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2.75" x14ac:dyDescent="0.2">
      <c r="A231" s="34"/>
      <c r="B231" s="7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2.75" x14ac:dyDescent="0.2">
      <c r="A232" s="34"/>
      <c r="B232" s="7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2.75" x14ac:dyDescent="0.2">
      <c r="A233" s="34"/>
      <c r="B233" s="7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2.75" x14ac:dyDescent="0.2">
      <c r="A234" s="34"/>
      <c r="B234" s="7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2.75" x14ac:dyDescent="0.2">
      <c r="A235" s="34"/>
      <c r="B235" s="7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2.75" x14ac:dyDescent="0.2">
      <c r="A236" s="34"/>
      <c r="B236" s="7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2.75" x14ac:dyDescent="0.2">
      <c r="A237" s="34"/>
      <c r="B237" s="7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2.75" x14ac:dyDescent="0.2">
      <c r="A238" s="34"/>
      <c r="B238" s="7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2.75" x14ac:dyDescent="0.2">
      <c r="A239" s="34"/>
      <c r="B239" s="7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2.75" x14ac:dyDescent="0.2">
      <c r="A240" s="34"/>
      <c r="B240" s="7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2.75" x14ac:dyDescent="0.2">
      <c r="A241" s="34"/>
      <c r="B241" s="7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2.75" x14ac:dyDescent="0.2">
      <c r="A242" s="34"/>
      <c r="B242" s="7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2.75" x14ac:dyDescent="0.2">
      <c r="A243" s="34"/>
      <c r="B243" s="7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2.75" x14ac:dyDescent="0.2">
      <c r="A244" s="34"/>
      <c r="B244" s="7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2.75" x14ac:dyDescent="0.2">
      <c r="A245" s="34"/>
      <c r="B245" s="7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2.75" x14ac:dyDescent="0.2">
      <c r="A246" s="34"/>
      <c r="B246" s="7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2.75" x14ac:dyDescent="0.2">
      <c r="A247" s="34"/>
      <c r="B247" s="7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2.75" x14ac:dyDescent="0.2">
      <c r="A248" s="34"/>
      <c r="B248" s="7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2.75" x14ac:dyDescent="0.2">
      <c r="A249" s="34"/>
      <c r="B249" s="7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2.75" x14ac:dyDescent="0.2">
      <c r="A250" s="34"/>
      <c r="B250" s="7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2.75" x14ac:dyDescent="0.2">
      <c r="A251" s="34"/>
      <c r="B251" s="7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2.75" x14ac:dyDescent="0.2">
      <c r="A252" s="34"/>
      <c r="B252" s="7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2.75" x14ac:dyDescent="0.2">
      <c r="A253" s="34"/>
      <c r="B253" s="7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2.75" x14ac:dyDescent="0.2">
      <c r="A254" s="34"/>
      <c r="B254" s="7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2.75" x14ac:dyDescent="0.2">
      <c r="A255" s="34"/>
      <c r="B255" s="7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2.75" x14ac:dyDescent="0.2">
      <c r="A256" s="34"/>
      <c r="B256" s="7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2.75" x14ac:dyDescent="0.2">
      <c r="A257" s="34"/>
      <c r="B257" s="7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2.75" x14ac:dyDescent="0.2">
      <c r="A258" s="34"/>
      <c r="B258" s="7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2.75" x14ac:dyDescent="0.2">
      <c r="A259" s="34"/>
      <c r="B259" s="7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2.75" x14ac:dyDescent="0.2">
      <c r="A260" s="34"/>
      <c r="B260" s="7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2.75" x14ac:dyDescent="0.2">
      <c r="A261" s="34"/>
      <c r="B261" s="7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2.75" x14ac:dyDescent="0.2">
      <c r="A262" s="34"/>
      <c r="B262" s="7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2.75" x14ac:dyDescent="0.2">
      <c r="A263" s="34"/>
      <c r="B263" s="7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2.75" x14ac:dyDescent="0.2">
      <c r="A264" s="34"/>
      <c r="B264" s="7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2.75" x14ac:dyDescent="0.2">
      <c r="A265" s="34"/>
      <c r="B265" s="7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2.75" x14ac:dyDescent="0.2">
      <c r="A266" s="34"/>
      <c r="B266" s="7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2.75" x14ac:dyDescent="0.2">
      <c r="A267" s="34"/>
      <c r="B267" s="7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2.75" x14ac:dyDescent="0.2">
      <c r="A268" s="34"/>
      <c r="B268" s="7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2.75" x14ac:dyDescent="0.2">
      <c r="A269" s="34"/>
      <c r="B269" s="7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2.75" x14ac:dyDescent="0.2">
      <c r="A270" s="34"/>
      <c r="B270" s="7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2.75" x14ac:dyDescent="0.2">
      <c r="A271" s="34"/>
      <c r="B271" s="7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2.75" x14ac:dyDescent="0.2">
      <c r="A272" s="34"/>
      <c r="B272" s="7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2.75" x14ac:dyDescent="0.2">
      <c r="A273" s="34"/>
      <c r="B273" s="7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2.75" x14ac:dyDescent="0.2">
      <c r="A274" s="34"/>
      <c r="B274" s="7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2.75" x14ac:dyDescent="0.2">
      <c r="A275" s="34"/>
      <c r="B275" s="7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2.75" x14ac:dyDescent="0.2">
      <c r="A276" s="34"/>
      <c r="B276" s="7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2.75" x14ac:dyDescent="0.2">
      <c r="A277" s="34"/>
      <c r="B277" s="7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2.75" x14ac:dyDescent="0.2">
      <c r="A278" s="34"/>
      <c r="B278" s="7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2.75" x14ac:dyDescent="0.2">
      <c r="A279" s="34"/>
      <c r="B279" s="7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2.75" x14ac:dyDescent="0.2">
      <c r="A280" s="34"/>
      <c r="B280" s="7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2.75" x14ac:dyDescent="0.2">
      <c r="A281" s="34"/>
      <c r="B281" s="7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2.75" x14ac:dyDescent="0.2">
      <c r="A282" s="34"/>
      <c r="B282" s="7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2.75" x14ac:dyDescent="0.2">
      <c r="A283" s="34"/>
      <c r="B283" s="7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2.75" x14ac:dyDescent="0.2">
      <c r="A284" s="34"/>
      <c r="B284" s="7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2.75" x14ac:dyDescent="0.2">
      <c r="A285" s="34"/>
      <c r="B285" s="7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2.75" x14ac:dyDescent="0.2">
      <c r="A286" s="34"/>
      <c r="B286" s="7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2.75" x14ac:dyDescent="0.2">
      <c r="A287" s="34"/>
      <c r="B287" s="7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2.75" x14ac:dyDescent="0.2">
      <c r="A288" s="34"/>
      <c r="B288" s="7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2.75" x14ac:dyDescent="0.2">
      <c r="A289" s="34"/>
      <c r="B289" s="7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2.75" x14ac:dyDescent="0.2">
      <c r="A290" s="34"/>
      <c r="B290" s="7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2.75" x14ac:dyDescent="0.2">
      <c r="A291" s="34"/>
      <c r="B291" s="7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2.75" x14ac:dyDescent="0.2">
      <c r="A292" s="34"/>
      <c r="B292" s="7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2.75" x14ac:dyDescent="0.2">
      <c r="A293" s="34"/>
      <c r="B293" s="7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2.75" x14ac:dyDescent="0.2">
      <c r="A294" s="34"/>
      <c r="B294" s="7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2.75" x14ac:dyDescent="0.2">
      <c r="A295" s="34"/>
      <c r="B295" s="7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2.75" x14ac:dyDescent="0.2">
      <c r="A296" s="34"/>
      <c r="B296" s="7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2.75" x14ac:dyDescent="0.2">
      <c r="A297" s="34"/>
      <c r="B297" s="7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2.75" x14ac:dyDescent="0.2">
      <c r="A298" s="34"/>
      <c r="B298" s="7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2.75" x14ac:dyDescent="0.2">
      <c r="A299" s="34"/>
      <c r="B299" s="7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2.75" x14ac:dyDescent="0.2">
      <c r="A300" s="34"/>
      <c r="B300" s="7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2.75" x14ac:dyDescent="0.2">
      <c r="A301" s="34"/>
      <c r="B301" s="7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2.75" x14ac:dyDescent="0.2">
      <c r="A302" s="34"/>
      <c r="B302" s="7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2.75" x14ac:dyDescent="0.2">
      <c r="A303" s="34"/>
      <c r="B303" s="7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2.75" x14ac:dyDescent="0.2">
      <c r="A304" s="34"/>
      <c r="B304" s="7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2.75" x14ac:dyDescent="0.2">
      <c r="A305" s="34"/>
      <c r="B305" s="7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2.75" x14ac:dyDescent="0.2">
      <c r="A306" s="34"/>
      <c r="B306" s="7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2.75" x14ac:dyDescent="0.2">
      <c r="A307" s="34"/>
      <c r="B307" s="7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2.75" x14ac:dyDescent="0.2">
      <c r="A308" s="34"/>
      <c r="B308" s="7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2.75" x14ac:dyDescent="0.2">
      <c r="A309" s="34"/>
      <c r="B309" s="7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2.75" x14ac:dyDescent="0.2">
      <c r="A310" s="34"/>
      <c r="B310" s="7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2.75" x14ac:dyDescent="0.2">
      <c r="A311" s="34"/>
      <c r="B311" s="7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2.75" x14ac:dyDescent="0.2">
      <c r="A312" s="34"/>
      <c r="B312" s="7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2.75" x14ac:dyDescent="0.2">
      <c r="A313" s="34"/>
      <c r="B313" s="7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2.75" x14ac:dyDescent="0.2">
      <c r="A314" s="34"/>
      <c r="B314" s="7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2.75" x14ac:dyDescent="0.2">
      <c r="A315" s="34"/>
      <c r="B315" s="7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2.75" x14ac:dyDescent="0.2">
      <c r="A316" s="34"/>
      <c r="B316" s="7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2.75" x14ac:dyDescent="0.2">
      <c r="A317" s="34"/>
      <c r="B317" s="7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2.75" x14ac:dyDescent="0.2">
      <c r="A318" s="34"/>
      <c r="B318" s="7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2.75" x14ac:dyDescent="0.2">
      <c r="A319" s="34"/>
      <c r="B319" s="7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2.75" x14ac:dyDescent="0.2">
      <c r="A320" s="34"/>
      <c r="B320" s="7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2.75" x14ac:dyDescent="0.2">
      <c r="A321" s="34"/>
      <c r="B321" s="7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2.75" x14ac:dyDescent="0.2">
      <c r="A322" s="34"/>
      <c r="B322" s="7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2.75" x14ac:dyDescent="0.2">
      <c r="A323" s="34"/>
      <c r="B323" s="7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2.75" x14ac:dyDescent="0.2">
      <c r="A324" s="34"/>
      <c r="B324" s="7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2.75" x14ac:dyDescent="0.2">
      <c r="A325" s="34"/>
      <c r="B325" s="7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2.75" x14ac:dyDescent="0.2">
      <c r="A326" s="34"/>
      <c r="B326" s="7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2.75" x14ac:dyDescent="0.2">
      <c r="A327" s="34"/>
      <c r="B327" s="7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2.75" x14ac:dyDescent="0.2">
      <c r="A328" s="34"/>
      <c r="B328" s="7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2.75" x14ac:dyDescent="0.2">
      <c r="A329" s="34"/>
      <c r="B329" s="7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2.75" x14ac:dyDescent="0.2">
      <c r="A330" s="34"/>
      <c r="B330" s="7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2.75" x14ac:dyDescent="0.2">
      <c r="A331" s="34"/>
      <c r="B331" s="7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2.75" x14ac:dyDescent="0.2">
      <c r="A332" s="34"/>
      <c r="B332" s="7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2.75" x14ac:dyDescent="0.2">
      <c r="A333" s="34"/>
      <c r="B333" s="7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2.75" x14ac:dyDescent="0.2">
      <c r="A334" s="34"/>
      <c r="B334" s="7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2.75" x14ac:dyDescent="0.2">
      <c r="A335" s="34"/>
      <c r="B335" s="7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2.75" x14ac:dyDescent="0.2">
      <c r="A336" s="34"/>
      <c r="B336" s="7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2.75" x14ac:dyDescent="0.2">
      <c r="A337" s="34"/>
      <c r="B337" s="7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2.75" x14ac:dyDescent="0.2">
      <c r="A338" s="34"/>
      <c r="B338" s="7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2.75" x14ac:dyDescent="0.2">
      <c r="A339" s="34"/>
      <c r="B339" s="7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2.75" x14ac:dyDescent="0.2">
      <c r="A340" s="34"/>
      <c r="B340" s="7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2.75" x14ac:dyDescent="0.2">
      <c r="A341" s="34"/>
      <c r="B341" s="7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2.75" x14ac:dyDescent="0.2">
      <c r="A342" s="34"/>
      <c r="B342" s="7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2.75" x14ac:dyDescent="0.2">
      <c r="A343" s="34"/>
      <c r="B343" s="7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2.75" x14ac:dyDescent="0.2">
      <c r="A344" s="34"/>
      <c r="B344" s="7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2.75" x14ac:dyDescent="0.2">
      <c r="A345" s="34"/>
      <c r="B345" s="7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2.75" x14ac:dyDescent="0.2">
      <c r="A346" s="34"/>
      <c r="B346" s="7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2.75" x14ac:dyDescent="0.2">
      <c r="A347" s="34"/>
      <c r="B347" s="7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2.75" x14ac:dyDescent="0.2">
      <c r="A348" s="34"/>
      <c r="B348" s="7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2.75" x14ac:dyDescent="0.2">
      <c r="A349" s="34"/>
      <c r="B349" s="7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2.75" x14ac:dyDescent="0.2">
      <c r="A350" s="34"/>
      <c r="B350" s="7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2.75" x14ac:dyDescent="0.2">
      <c r="A351" s="34"/>
      <c r="B351" s="7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2.75" x14ac:dyDescent="0.2">
      <c r="A352" s="34"/>
      <c r="B352" s="7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2.75" x14ac:dyDescent="0.2">
      <c r="A353" s="34"/>
      <c r="B353" s="7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2.75" x14ac:dyDescent="0.2">
      <c r="A354" s="34"/>
      <c r="B354" s="7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2.75" x14ac:dyDescent="0.2">
      <c r="A355" s="34"/>
      <c r="B355" s="7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2.75" x14ac:dyDescent="0.2">
      <c r="A356" s="34"/>
      <c r="B356" s="7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2.75" x14ac:dyDescent="0.2">
      <c r="A357" s="34"/>
      <c r="B357" s="7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2.75" x14ac:dyDescent="0.2">
      <c r="A358" s="34"/>
      <c r="B358" s="7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2.75" x14ac:dyDescent="0.2">
      <c r="A359" s="34"/>
      <c r="B359" s="7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2.75" x14ac:dyDescent="0.2">
      <c r="A360" s="34"/>
      <c r="B360" s="7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2.75" x14ac:dyDescent="0.2">
      <c r="A361" s="34"/>
      <c r="B361" s="7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2.75" x14ac:dyDescent="0.2">
      <c r="A362" s="34"/>
      <c r="B362" s="7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2.75" x14ac:dyDescent="0.2">
      <c r="A363" s="34"/>
      <c r="B363" s="7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2.75" x14ac:dyDescent="0.2">
      <c r="A364" s="34"/>
      <c r="B364" s="7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2.75" x14ac:dyDescent="0.2">
      <c r="A365" s="34"/>
      <c r="B365" s="7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2.75" x14ac:dyDescent="0.2">
      <c r="A366" s="34"/>
      <c r="B366" s="7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2.75" x14ac:dyDescent="0.2">
      <c r="A367" s="34"/>
      <c r="B367" s="7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2.75" x14ac:dyDescent="0.2">
      <c r="A368" s="34"/>
      <c r="B368" s="7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2.75" x14ac:dyDescent="0.2">
      <c r="A369" s="34"/>
      <c r="B369" s="7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2.75" x14ac:dyDescent="0.2">
      <c r="A370" s="34"/>
      <c r="B370" s="7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2.75" x14ac:dyDescent="0.2">
      <c r="A371" s="34"/>
      <c r="B371" s="7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2.75" x14ac:dyDescent="0.2">
      <c r="A372" s="34"/>
      <c r="B372" s="7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2.75" x14ac:dyDescent="0.2">
      <c r="A373" s="34"/>
      <c r="B373" s="7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2.75" x14ac:dyDescent="0.2">
      <c r="A374" s="34"/>
      <c r="B374" s="7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2.75" x14ac:dyDescent="0.2">
      <c r="A375" s="34"/>
      <c r="B375" s="7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2.75" x14ac:dyDescent="0.2">
      <c r="A376" s="34"/>
      <c r="B376" s="7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2.75" x14ac:dyDescent="0.2">
      <c r="A377" s="34"/>
      <c r="B377" s="7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2.75" x14ac:dyDescent="0.2">
      <c r="A378" s="34"/>
      <c r="B378" s="7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2.75" x14ac:dyDescent="0.2">
      <c r="A379" s="34"/>
      <c r="B379" s="7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2.75" x14ac:dyDescent="0.2">
      <c r="A380" s="34"/>
      <c r="B380" s="7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2.75" x14ac:dyDescent="0.2">
      <c r="A381" s="34"/>
      <c r="B381" s="7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2.75" x14ac:dyDescent="0.2">
      <c r="A382" s="34"/>
      <c r="B382" s="7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2.75" x14ac:dyDescent="0.2">
      <c r="A383" s="34"/>
      <c r="B383" s="7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2.75" x14ac:dyDescent="0.2">
      <c r="A384" s="34"/>
      <c r="B384" s="7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2.75" x14ac:dyDescent="0.2">
      <c r="A385" s="34"/>
      <c r="B385" s="7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2.75" x14ac:dyDescent="0.2">
      <c r="A386" s="34"/>
      <c r="B386" s="7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2.75" x14ac:dyDescent="0.2">
      <c r="A387" s="34"/>
      <c r="B387" s="7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2.75" x14ac:dyDescent="0.2">
      <c r="A388" s="34"/>
      <c r="B388" s="7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2.75" x14ac:dyDescent="0.2">
      <c r="A389" s="34"/>
      <c r="B389" s="7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2.75" x14ac:dyDescent="0.2">
      <c r="A390" s="34"/>
      <c r="B390" s="7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2.75" x14ac:dyDescent="0.2">
      <c r="A391" s="34"/>
      <c r="B391" s="7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2.75" x14ac:dyDescent="0.2">
      <c r="A392" s="34"/>
      <c r="B392" s="7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2.75" x14ac:dyDescent="0.2">
      <c r="A393" s="34"/>
      <c r="B393" s="7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2.75" x14ac:dyDescent="0.2">
      <c r="A394" s="34"/>
      <c r="B394" s="7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2.75" x14ac:dyDescent="0.2">
      <c r="A395" s="34"/>
      <c r="B395" s="7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2.75" x14ac:dyDescent="0.2">
      <c r="A396" s="34"/>
      <c r="B396" s="7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2.75" x14ac:dyDescent="0.2">
      <c r="A397" s="34"/>
      <c r="B397" s="7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2.75" x14ac:dyDescent="0.2">
      <c r="A398" s="34"/>
      <c r="B398" s="7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2.75" x14ac:dyDescent="0.2">
      <c r="A399" s="34"/>
      <c r="B399" s="7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2.75" x14ac:dyDescent="0.2">
      <c r="A400" s="34"/>
      <c r="B400" s="7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2.75" x14ac:dyDescent="0.2">
      <c r="A401" s="34"/>
      <c r="B401" s="7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2.75" x14ac:dyDescent="0.2">
      <c r="A402" s="34"/>
      <c r="B402" s="7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2.75" x14ac:dyDescent="0.2">
      <c r="A403" s="34"/>
      <c r="B403" s="7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2.75" x14ac:dyDescent="0.2">
      <c r="A404" s="34"/>
      <c r="B404" s="7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2.75" x14ac:dyDescent="0.2">
      <c r="A405" s="34"/>
      <c r="B405" s="7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2.75" x14ac:dyDescent="0.2">
      <c r="A406" s="34"/>
      <c r="B406" s="7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2.75" x14ac:dyDescent="0.2">
      <c r="A407" s="34"/>
      <c r="B407" s="7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2.75" x14ac:dyDescent="0.2">
      <c r="A408" s="34"/>
      <c r="B408" s="7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2.75" x14ac:dyDescent="0.2">
      <c r="A409" s="34"/>
      <c r="B409" s="7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2.75" x14ac:dyDescent="0.2">
      <c r="A410" s="34"/>
      <c r="B410" s="7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2.75" x14ac:dyDescent="0.2">
      <c r="A411" s="34"/>
      <c r="B411" s="7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2.75" x14ac:dyDescent="0.2">
      <c r="A412" s="34"/>
      <c r="B412" s="7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2.75" x14ac:dyDescent="0.2">
      <c r="A413" s="34"/>
      <c r="B413" s="7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2.75" x14ac:dyDescent="0.2">
      <c r="A414" s="34"/>
      <c r="B414" s="7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2.75" x14ac:dyDescent="0.2">
      <c r="A415" s="34"/>
      <c r="B415" s="7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2.75" x14ac:dyDescent="0.2">
      <c r="A416" s="34"/>
      <c r="B416" s="7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2.75" x14ac:dyDescent="0.2">
      <c r="A417" s="34"/>
      <c r="B417" s="7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2.75" x14ac:dyDescent="0.2">
      <c r="A418" s="34"/>
      <c r="B418" s="7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2.75" x14ac:dyDescent="0.2">
      <c r="A419" s="34"/>
      <c r="B419" s="7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2.75" x14ac:dyDescent="0.2">
      <c r="A420" s="34"/>
      <c r="B420" s="7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2.75" x14ac:dyDescent="0.2">
      <c r="A421" s="34"/>
      <c r="B421" s="7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2.75" x14ac:dyDescent="0.2">
      <c r="A422" s="34"/>
      <c r="B422" s="7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2.75" x14ac:dyDescent="0.2">
      <c r="A423" s="34"/>
      <c r="B423" s="7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2.75" x14ac:dyDescent="0.2">
      <c r="A424" s="34"/>
      <c r="B424" s="7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2.75" x14ac:dyDescent="0.2">
      <c r="A425" s="34"/>
      <c r="B425" s="7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2.75" x14ac:dyDescent="0.2">
      <c r="A426" s="34"/>
      <c r="B426" s="7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2.75" x14ac:dyDescent="0.2">
      <c r="A427" s="34"/>
      <c r="B427" s="7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2.75" x14ac:dyDescent="0.2">
      <c r="A428" s="34"/>
      <c r="B428" s="7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2.75" x14ac:dyDescent="0.2">
      <c r="A429" s="34"/>
      <c r="B429" s="7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2.75" x14ac:dyDescent="0.2">
      <c r="A430" s="34"/>
      <c r="B430" s="7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2.75" x14ac:dyDescent="0.2">
      <c r="A431" s="34"/>
      <c r="B431" s="7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2.75" x14ac:dyDescent="0.2">
      <c r="A432" s="34"/>
      <c r="B432" s="7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2.75" x14ac:dyDescent="0.2">
      <c r="A433" s="34"/>
      <c r="B433" s="7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2.75" x14ac:dyDescent="0.2">
      <c r="A434" s="34"/>
      <c r="B434" s="7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2.75" x14ac:dyDescent="0.2">
      <c r="A435" s="34"/>
      <c r="B435" s="7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2.75" x14ac:dyDescent="0.2">
      <c r="A436" s="34"/>
      <c r="B436" s="7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2.75" x14ac:dyDescent="0.2">
      <c r="A437" s="34"/>
      <c r="B437" s="7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2.75" x14ac:dyDescent="0.2">
      <c r="A438" s="34"/>
      <c r="B438" s="7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2.75" x14ac:dyDescent="0.2">
      <c r="A439" s="34"/>
      <c r="B439" s="7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2.75" x14ac:dyDescent="0.2">
      <c r="A440" s="34"/>
      <c r="B440" s="7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2.75" x14ac:dyDescent="0.2">
      <c r="A441" s="34"/>
      <c r="B441" s="7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2.75" x14ac:dyDescent="0.2">
      <c r="A442" s="34"/>
      <c r="B442" s="7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2.75" x14ac:dyDescent="0.2">
      <c r="A443" s="34"/>
      <c r="B443" s="7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2.75" x14ac:dyDescent="0.2">
      <c r="A444" s="34"/>
      <c r="B444" s="7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2.75" x14ac:dyDescent="0.2">
      <c r="A445" s="34"/>
      <c r="B445" s="7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2.75" x14ac:dyDescent="0.2">
      <c r="A446" s="34"/>
      <c r="B446" s="7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2.75" x14ac:dyDescent="0.2">
      <c r="A447" s="34"/>
      <c r="B447" s="7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2.75" x14ac:dyDescent="0.2">
      <c r="A448" s="34"/>
      <c r="B448" s="7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2.75" x14ac:dyDescent="0.2">
      <c r="A449" s="34"/>
      <c r="B449" s="7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2.75" x14ac:dyDescent="0.2">
      <c r="A450" s="34"/>
      <c r="B450" s="7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2.75" x14ac:dyDescent="0.2">
      <c r="A451" s="34"/>
      <c r="B451" s="7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2.75" x14ac:dyDescent="0.2">
      <c r="A452" s="34"/>
      <c r="B452" s="7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2.75" x14ac:dyDescent="0.2">
      <c r="A453" s="34"/>
      <c r="B453" s="7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2.75" x14ac:dyDescent="0.2">
      <c r="A454" s="34"/>
      <c r="B454" s="7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2.75" x14ac:dyDescent="0.2">
      <c r="A455" s="34"/>
      <c r="B455" s="7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2.75" x14ac:dyDescent="0.2">
      <c r="A456" s="34"/>
      <c r="B456" s="7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2.75" x14ac:dyDescent="0.2">
      <c r="A457" s="34"/>
      <c r="B457" s="7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2.75" x14ac:dyDescent="0.2">
      <c r="A458" s="34"/>
      <c r="B458" s="7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2.75" x14ac:dyDescent="0.2">
      <c r="A459" s="34"/>
      <c r="B459" s="7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2.75" x14ac:dyDescent="0.2">
      <c r="A460" s="34"/>
      <c r="B460" s="7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2.75" x14ac:dyDescent="0.2">
      <c r="A461" s="34"/>
      <c r="B461" s="7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2.75" x14ac:dyDescent="0.2">
      <c r="A462" s="34"/>
      <c r="B462" s="7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2.75" x14ac:dyDescent="0.2">
      <c r="A463" s="34"/>
      <c r="B463" s="7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2.75" x14ac:dyDescent="0.2">
      <c r="A464" s="34"/>
      <c r="B464" s="7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2.75" x14ac:dyDescent="0.2">
      <c r="A465" s="34"/>
      <c r="B465" s="7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2.75" x14ac:dyDescent="0.2">
      <c r="A466" s="34"/>
      <c r="B466" s="7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2.75" x14ac:dyDescent="0.2">
      <c r="A467" s="34"/>
      <c r="B467" s="7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2.75" x14ac:dyDescent="0.2">
      <c r="A468" s="34"/>
      <c r="B468" s="7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2.75" x14ac:dyDescent="0.2">
      <c r="A469" s="34"/>
      <c r="B469" s="7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2.75" x14ac:dyDescent="0.2">
      <c r="A470" s="34"/>
      <c r="B470" s="7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2.75" x14ac:dyDescent="0.2">
      <c r="A471" s="34"/>
      <c r="B471" s="7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2.75" x14ac:dyDescent="0.2">
      <c r="A472" s="34"/>
      <c r="B472" s="7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2.75" x14ac:dyDescent="0.2">
      <c r="A473" s="34"/>
      <c r="B473" s="7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2.75" x14ac:dyDescent="0.2">
      <c r="A474" s="34"/>
      <c r="B474" s="7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2.75" x14ac:dyDescent="0.2">
      <c r="A475" s="34"/>
      <c r="B475" s="7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2.75" x14ac:dyDescent="0.2">
      <c r="A476" s="34"/>
      <c r="B476" s="7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2.75" x14ac:dyDescent="0.2">
      <c r="A477" s="34"/>
      <c r="B477" s="7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2.75" x14ac:dyDescent="0.2">
      <c r="A478" s="34"/>
      <c r="B478" s="7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2.75" x14ac:dyDescent="0.2">
      <c r="A479" s="34"/>
      <c r="B479" s="7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2.75" x14ac:dyDescent="0.2">
      <c r="A480" s="34"/>
      <c r="B480" s="7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2.75" x14ac:dyDescent="0.2">
      <c r="A481" s="34"/>
      <c r="B481" s="7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2.75" x14ac:dyDescent="0.2">
      <c r="A482" s="34"/>
      <c r="B482" s="7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2.75" x14ac:dyDescent="0.2">
      <c r="A483" s="34"/>
      <c r="B483" s="7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2.75" x14ac:dyDescent="0.2">
      <c r="A484" s="34"/>
      <c r="B484" s="7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2.75" x14ac:dyDescent="0.2">
      <c r="A485" s="34"/>
      <c r="B485" s="7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2.75" x14ac:dyDescent="0.2">
      <c r="A486" s="34"/>
      <c r="B486" s="7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2.75" x14ac:dyDescent="0.2">
      <c r="A487" s="34"/>
      <c r="B487" s="7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2.75" x14ac:dyDescent="0.2">
      <c r="A488" s="34"/>
      <c r="B488" s="7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2.75" x14ac:dyDescent="0.2">
      <c r="A489" s="34"/>
      <c r="B489" s="7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2.75" x14ac:dyDescent="0.2">
      <c r="A490" s="34"/>
      <c r="B490" s="7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2.75" x14ac:dyDescent="0.2">
      <c r="A491" s="34"/>
      <c r="B491" s="7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2.75" x14ac:dyDescent="0.2">
      <c r="A492" s="34"/>
      <c r="B492" s="7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2.75" x14ac:dyDescent="0.2">
      <c r="A493" s="34"/>
      <c r="B493" s="7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2.75" x14ac:dyDescent="0.2">
      <c r="A494" s="34"/>
      <c r="B494" s="7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2.75" x14ac:dyDescent="0.2">
      <c r="A495" s="34"/>
      <c r="B495" s="7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2.75" x14ac:dyDescent="0.2">
      <c r="A496" s="34"/>
      <c r="B496" s="7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2.75" x14ac:dyDescent="0.2">
      <c r="A497" s="34"/>
      <c r="B497" s="7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2.75" x14ac:dyDescent="0.2">
      <c r="A498" s="34"/>
      <c r="B498" s="7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2.75" x14ac:dyDescent="0.2">
      <c r="A499" s="34"/>
      <c r="B499" s="7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2.75" x14ac:dyDescent="0.2">
      <c r="A500" s="34"/>
      <c r="B500" s="7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2.75" x14ac:dyDescent="0.2">
      <c r="A501" s="34"/>
      <c r="B501" s="7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2.75" x14ac:dyDescent="0.2">
      <c r="A502" s="34"/>
      <c r="B502" s="7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ht="12.75" x14ac:dyDescent="0.2">
      <c r="A503" s="34"/>
      <c r="B503" s="7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2.75" x14ac:dyDescent="0.2">
      <c r="A504" s="34"/>
      <c r="B504" s="7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2.75" x14ac:dyDescent="0.2">
      <c r="A505" s="34"/>
      <c r="B505" s="7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ht="12.75" x14ac:dyDescent="0.2">
      <c r="A506" s="34"/>
      <c r="B506" s="7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2.75" x14ac:dyDescent="0.2">
      <c r="A507" s="34"/>
      <c r="B507" s="7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ht="12.75" x14ac:dyDescent="0.2">
      <c r="A508" s="34"/>
      <c r="B508" s="7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2.75" x14ac:dyDescent="0.2">
      <c r="A509" s="34"/>
      <c r="B509" s="7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ht="12.75" x14ac:dyDescent="0.2">
      <c r="A510" s="34"/>
      <c r="B510" s="7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12.75" x14ac:dyDescent="0.2">
      <c r="A511" s="34"/>
      <c r="B511" s="7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ht="12.75" x14ac:dyDescent="0.2">
      <c r="A512" s="34"/>
      <c r="B512" s="7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2.75" x14ac:dyDescent="0.2">
      <c r="A513" s="34"/>
      <c r="B513" s="7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2.75" x14ac:dyDescent="0.2">
      <c r="A514" s="34"/>
      <c r="B514" s="7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ht="12.75" x14ac:dyDescent="0.2">
      <c r="A515" s="34"/>
      <c r="B515" s="7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2.75" x14ac:dyDescent="0.2">
      <c r="A516" s="34"/>
      <c r="B516" s="7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2.75" x14ac:dyDescent="0.2">
      <c r="A517" s="34"/>
      <c r="B517" s="7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12.75" x14ac:dyDescent="0.2">
      <c r="A518" s="34"/>
      <c r="B518" s="7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2.75" x14ac:dyDescent="0.2">
      <c r="A519" s="34"/>
      <c r="B519" s="7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ht="12.75" x14ac:dyDescent="0.2">
      <c r="A520" s="34"/>
      <c r="B520" s="7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2.75" x14ac:dyDescent="0.2">
      <c r="A521" s="34"/>
      <c r="B521" s="7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ht="12.75" x14ac:dyDescent="0.2">
      <c r="A522" s="34"/>
      <c r="B522" s="7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ht="12.75" x14ac:dyDescent="0.2">
      <c r="A523" s="34"/>
      <c r="B523" s="7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2.75" x14ac:dyDescent="0.2">
      <c r="A524" s="34"/>
      <c r="B524" s="7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2.75" x14ac:dyDescent="0.2">
      <c r="A525" s="34"/>
      <c r="B525" s="7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ht="12.75" x14ac:dyDescent="0.2">
      <c r="A526" s="34"/>
      <c r="B526" s="7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t="12.75" x14ac:dyDescent="0.2">
      <c r="A527" s="34"/>
      <c r="B527" s="7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2.75" x14ac:dyDescent="0.2">
      <c r="A528" s="34"/>
      <c r="B528" s="7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2.75" x14ac:dyDescent="0.2">
      <c r="A529" s="34"/>
      <c r="B529" s="7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2.75" x14ac:dyDescent="0.2">
      <c r="A530" s="34"/>
      <c r="B530" s="7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2.75" x14ac:dyDescent="0.2">
      <c r="A531" s="34"/>
      <c r="B531" s="7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ht="12.75" x14ac:dyDescent="0.2">
      <c r="A532" s="34"/>
      <c r="B532" s="7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12.75" x14ac:dyDescent="0.2">
      <c r="A533" s="34"/>
      <c r="B533" s="7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ht="12.75" x14ac:dyDescent="0.2">
      <c r="A534" s="34"/>
      <c r="B534" s="7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ht="12.75" x14ac:dyDescent="0.2">
      <c r="A535" s="34"/>
      <c r="B535" s="7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ht="12.75" x14ac:dyDescent="0.2">
      <c r="A536" s="34"/>
      <c r="B536" s="7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2.75" x14ac:dyDescent="0.2">
      <c r="A537" s="34"/>
      <c r="B537" s="7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ht="12.75" x14ac:dyDescent="0.2">
      <c r="A538" s="34"/>
      <c r="B538" s="7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2.75" x14ac:dyDescent="0.2">
      <c r="A539" s="34"/>
      <c r="B539" s="7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2.75" x14ac:dyDescent="0.2">
      <c r="A540" s="34"/>
      <c r="B540" s="7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2.75" x14ac:dyDescent="0.2">
      <c r="A541" s="34"/>
      <c r="B541" s="7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ht="12.75" x14ac:dyDescent="0.2">
      <c r="A542" s="34"/>
      <c r="B542" s="7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2.75" x14ac:dyDescent="0.2">
      <c r="A543" s="34"/>
      <c r="B543" s="7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2.75" x14ac:dyDescent="0.2">
      <c r="A544" s="34"/>
      <c r="B544" s="7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ht="12.75" x14ac:dyDescent="0.2">
      <c r="A545" s="34"/>
      <c r="B545" s="7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12.75" x14ac:dyDescent="0.2">
      <c r="A546" s="34"/>
      <c r="B546" s="7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2.75" x14ac:dyDescent="0.2">
      <c r="A547" s="34"/>
      <c r="B547" s="7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ht="12.75" x14ac:dyDescent="0.2">
      <c r="A548" s="34"/>
      <c r="B548" s="7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2.75" x14ac:dyDescent="0.2">
      <c r="A549" s="34"/>
      <c r="B549" s="7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ht="12.75" x14ac:dyDescent="0.2">
      <c r="A550" s="34"/>
      <c r="B550" s="7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12.75" x14ac:dyDescent="0.2">
      <c r="A551" s="34"/>
      <c r="B551" s="7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12.75" x14ac:dyDescent="0.2">
      <c r="A552" s="34"/>
      <c r="B552" s="7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2.75" x14ac:dyDescent="0.2">
      <c r="A553" s="34"/>
      <c r="B553" s="7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2.75" x14ac:dyDescent="0.2">
      <c r="A554" s="34"/>
      <c r="B554" s="7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2.75" x14ac:dyDescent="0.2">
      <c r="A555" s="34"/>
      <c r="B555" s="7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ht="12.75" x14ac:dyDescent="0.2">
      <c r="A556" s="34"/>
      <c r="B556" s="7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ht="12.75" x14ac:dyDescent="0.2">
      <c r="A557" s="34"/>
      <c r="B557" s="7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ht="12.75" x14ac:dyDescent="0.2">
      <c r="A558" s="34"/>
      <c r="B558" s="7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2.75" x14ac:dyDescent="0.2">
      <c r="A559" s="34"/>
      <c r="B559" s="7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ht="12.75" x14ac:dyDescent="0.2">
      <c r="A560" s="34"/>
      <c r="B560" s="7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2.75" x14ac:dyDescent="0.2">
      <c r="A561" s="34"/>
      <c r="B561" s="7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ht="12.75" x14ac:dyDescent="0.2">
      <c r="A562" s="34"/>
      <c r="B562" s="7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12.75" x14ac:dyDescent="0.2">
      <c r="A563" s="34"/>
      <c r="B563" s="7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2.75" x14ac:dyDescent="0.2">
      <c r="A564" s="34"/>
      <c r="B564" s="7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2.75" x14ac:dyDescent="0.2">
      <c r="A565" s="34"/>
      <c r="B565" s="7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ht="12.75" x14ac:dyDescent="0.2">
      <c r="A566" s="34"/>
      <c r="B566" s="7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2.75" x14ac:dyDescent="0.2">
      <c r="A567" s="34"/>
      <c r="B567" s="7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ht="12.75" x14ac:dyDescent="0.2">
      <c r="A568" s="34"/>
      <c r="B568" s="7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2.75" x14ac:dyDescent="0.2">
      <c r="A569" s="34"/>
      <c r="B569" s="7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ht="12.75" x14ac:dyDescent="0.2">
      <c r="A570" s="34"/>
      <c r="B570" s="7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ht="12.75" x14ac:dyDescent="0.2">
      <c r="A571" s="34"/>
      <c r="B571" s="7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ht="12.75" x14ac:dyDescent="0.2">
      <c r="A572" s="34"/>
      <c r="B572" s="7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2.75" x14ac:dyDescent="0.2">
      <c r="A573" s="34"/>
      <c r="B573" s="7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ht="12.75" x14ac:dyDescent="0.2">
      <c r="A574" s="34"/>
      <c r="B574" s="7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12.75" x14ac:dyDescent="0.2">
      <c r="A575" s="34"/>
      <c r="B575" s="7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2.75" x14ac:dyDescent="0.2">
      <c r="A576" s="34"/>
      <c r="B576" s="7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2.75" x14ac:dyDescent="0.2">
      <c r="A577" s="34"/>
      <c r="B577" s="7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ht="12.75" x14ac:dyDescent="0.2">
      <c r="A578" s="34"/>
      <c r="B578" s="7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2.75" x14ac:dyDescent="0.2">
      <c r="A579" s="34"/>
      <c r="B579" s="7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2.75" x14ac:dyDescent="0.2">
      <c r="A580" s="34"/>
      <c r="B580" s="7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ht="12.75" x14ac:dyDescent="0.2">
      <c r="A581" s="34"/>
      <c r="B581" s="7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ht="12.75" x14ac:dyDescent="0.2">
      <c r="A582" s="34"/>
      <c r="B582" s="7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ht="12.75" x14ac:dyDescent="0.2">
      <c r="A583" s="34"/>
      <c r="B583" s="7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ht="12.75" x14ac:dyDescent="0.2">
      <c r="A584" s="34"/>
      <c r="B584" s="7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2.75" x14ac:dyDescent="0.2">
      <c r="A585" s="34"/>
      <c r="B585" s="7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ht="12.75" x14ac:dyDescent="0.2">
      <c r="A586" s="34"/>
      <c r="B586" s="7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12.75" x14ac:dyDescent="0.2">
      <c r="A587" s="34"/>
      <c r="B587" s="7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2.75" x14ac:dyDescent="0.2">
      <c r="A588" s="34"/>
      <c r="B588" s="7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12.75" x14ac:dyDescent="0.2">
      <c r="A589" s="34"/>
      <c r="B589" s="7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ht="12.75" x14ac:dyDescent="0.2">
      <c r="A590" s="34"/>
      <c r="B590" s="7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2.75" x14ac:dyDescent="0.2">
      <c r="A591" s="34"/>
      <c r="B591" s="7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2.75" x14ac:dyDescent="0.2">
      <c r="A592" s="34"/>
      <c r="B592" s="7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ht="12.75" x14ac:dyDescent="0.2">
      <c r="A593" s="34"/>
      <c r="B593" s="7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ht="12.75" x14ac:dyDescent="0.2">
      <c r="A594" s="34"/>
      <c r="B594" s="7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ht="12.75" x14ac:dyDescent="0.2">
      <c r="A595" s="34"/>
      <c r="B595" s="7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ht="12.75" x14ac:dyDescent="0.2">
      <c r="A596" s="34"/>
      <c r="B596" s="7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2.75" x14ac:dyDescent="0.2">
      <c r="A597" s="34"/>
      <c r="B597" s="7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ht="12.75" x14ac:dyDescent="0.2">
      <c r="A598" s="34"/>
      <c r="B598" s="7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12.75" x14ac:dyDescent="0.2">
      <c r="A599" s="34"/>
      <c r="B599" s="7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2.75" x14ac:dyDescent="0.2">
      <c r="A600" s="34"/>
      <c r="B600" s="7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ht="12.75" x14ac:dyDescent="0.2">
      <c r="A601" s="34"/>
      <c r="B601" s="7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2.75" x14ac:dyDescent="0.2">
      <c r="A602" s="34"/>
      <c r="B602" s="7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2.75" x14ac:dyDescent="0.2">
      <c r="A603" s="34"/>
      <c r="B603" s="7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ht="12.75" x14ac:dyDescent="0.2">
      <c r="A604" s="34"/>
      <c r="B604" s="7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ht="12.75" x14ac:dyDescent="0.2">
      <c r="A605" s="34"/>
      <c r="B605" s="7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ht="12.75" x14ac:dyDescent="0.2">
      <c r="A606" s="34"/>
      <c r="B606" s="7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2.75" x14ac:dyDescent="0.2">
      <c r="A607" s="34"/>
      <c r="B607" s="7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ht="12.75" x14ac:dyDescent="0.2">
      <c r="A608" s="34"/>
      <c r="B608" s="7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2.75" x14ac:dyDescent="0.2">
      <c r="A609" s="34"/>
      <c r="B609" s="7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12.75" x14ac:dyDescent="0.2">
      <c r="A610" s="34"/>
      <c r="B610" s="7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12.75" x14ac:dyDescent="0.2">
      <c r="A611" s="34"/>
      <c r="B611" s="7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2.75" x14ac:dyDescent="0.2">
      <c r="A612" s="34"/>
      <c r="B612" s="7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ht="12.75" x14ac:dyDescent="0.2">
      <c r="A613" s="34"/>
      <c r="B613" s="7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12.75" x14ac:dyDescent="0.2">
      <c r="A614" s="34"/>
      <c r="B614" s="7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2.75" x14ac:dyDescent="0.2">
      <c r="A615" s="34"/>
      <c r="B615" s="7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ht="12.75" x14ac:dyDescent="0.2">
      <c r="A616" s="34"/>
      <c r="B616" s="7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ht="12.75" x14ac:dyDescent="0.2">
      <c r="A617" s="34"/>
      <c r="B617" s="7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2.75" x14ac:dyDescent="0.2">
      <c r="A618" s="34"/>
      <c r="B618" s="7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2.75" x14ac:dyDescent="0.2">
      <c r="A619" s="34"/>
      <c r="B619" s="7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12.75" x14ac:dyDescent="0.2">
      <c r="A620" s="34"/>
      <c r="B620" s="7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2.75" x14ac:dyDescent="0.2">
      <c r="A621" s="34"/>
      <c r="B621" s="7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12.75" x14ac:dyDescent="0.2">
      <c r="A622" s="34"/>
      <c r="B622" s="7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2.75" x14ac:dyDescent="0.2">
      <c r="A623" s="34"/>
      <c r="B623" s="7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ht="12.75" x14ac:dyDescent="0.2">
      <c r="A624" s="34"/>
      <c r="B624" s="7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ht="12.75" x14ac:dyDescent="0.2">
      <c r="A625" s="34"/>
      <c r="B625" s="7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ht="12.75" x14ac:dyDescent="0.2">
      <c r="A626" s="34"/>
      <c r="B626" s="7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2.75" x14ac:dyDescent="0.2">
      <c r="A627" s="34"/>
      <c r="B627" s="7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12.75" x14ac:dyDescent="0.2">
      <c r="A628" s="34"/>
      <c r="B628" s="7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ht="12.75" x14ac:dyDescent="0.2">
      <c r="A629" s="34"/>
      <c r="B629" s="7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ht="12.75" x14ac:dyDescent="0.2">
      <c r="A630" s="34"/>
      <c r="B630" s="7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ht="12.75" x14ac:dyDescent="0.2">
      <c r="A631" s="34"/>
      <c r="B631" s="7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ht="12.75" x14ac:dyDescent="0.2">
      <c r="A632" s="34"/>
      <c r="B632" s="7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2.75" x14ac:dyDescent="0.2">
      <c r="A633" s="34"/>
      <c r="B633" s="7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2.75" x14ac:dyDescent="0.2">
      <c r="A634" s="34"/>
      <c r="B634" s="7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ht="12.75" x14ac:dyDescent="0.2">
      <c r="A635" s="34"/>
      <c r="B635" s="7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ht="12.75" x14ac:dyDescent="0.2">
      <c r="A636" s="34"/>
      <c r="B636" s="7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ht="12.75" x14ac:dyDescent="0.2">
      <c r="A637" s="34"/>
      <c r="B637" s="7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ht="12.75" x14ac:dyDescent="0.2">
      <c r="A638" s="34"/>
      <c r="B638" s="7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ht="12.75" x14ac:dyDescent="0.2">
      <c r="A639" s="34"/>
      <c r="B639" s="7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ht="12.75" x14ac:dyDescent="0.2">
      <c r="A640" s="34"/>
      <c r="B640" s="7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12.75" x14ac:dyDescent="0.2">
      <c r="A641" s="34"/>
      <c r="B641" s="7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ht="12.75" x14ac:dyDescent="0.2">
      <c r="A642" s="34"/>
      <c r="B642" s="7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ht="12.75" x14ac:dyDescent="0.2">
      <c r="A643" s="34"/>
      <c r="B643" s="7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ht="12.75" x14ac:dyDescent="0.2">
      <c r="A644" s="34"/>
      <c r="B644" s="7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2.75" x14ac:dyDescent="0.2">
      <c r="A645" s="34"/>
      <c r="B645" s="7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12.75" x14ac:dyDescent="0.2">
      <c r="A646" s="34"/>
      <c r="B646" s="7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ht="12.75" x14ac:dyDescent="0.2">
      <c r="A647" s="34"/>
      <c r="B647" s="7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ht="12.75" x14ac:dyDescent="0.2">
      <c r="A648" s="34"/>
      <c r="B648" s="7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ht="12.75" x14ac:dyDescent="0.2">
      <c r="A649" s="34"/>
      <c r="B649" s="7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ht="12.75" x14ac:dyDescent="0.2">
      <c r="A650" s="34"/>
      <c r="B650" s="7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ht="12.75" x14ac:dyDescent="0.2">
      <c r="A651" s="34"/>
      <c r="B651" s="7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ht="12.75" x14ac:dyDescent="0.2">
      <c r="A652" s="34"/>
      <c r="B652" s="7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ht="12.75" x14ac:dyDescent="0.2">
      <c r="A653" s="34"/>
      <c r="B653" s="7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12.75" x14ac:dyDescent="0.2">
      <c r="A654" s="34"/>
      <c r="B654" s="7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ht="12.75" x14ac:dyDescent="0.2">
      <c r="A655" s="34"/>
      <c r="B655" s="7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ht="12.75" x14ac:dyDescent="0.2">
      <c r="A656" s="34"/>
      <c r="B656" s="7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ht="12.75" x14ac:dyDescent="0.2">
      <c r="A657" s="34"/>
      <c r="B657" s="7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ht="12.75" x14ac:dyDescent="0.2">
      <c r="A658" s="34"/>
      <c r="B658" s="7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ht="12.75" x14ac:dyDescent="0.2">
      <c r="A659" s="34"/>
      <c r="B659" s="7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ht="12.75" x14ac:dyDescent="0.2">
      <c r="A660" s="34"/>
      <c r="B660" s="7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ht="12.75" x14ac:dyDescent="0.2">
      <c r="A661" s="34"/>
      <c r="B661" s="7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ht="12.75" x14ac:dyDescent="0.2">
      <c r="A662" s="34"/>
      <c r="B662" s="7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ht="12.75" x14ac:dyDescent="0.2">
      <c r="A663" s="34"/>
      <c r="B663" s="7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ht="12.75" x14ac:dyDescent="0.2">
      <c r="A664" s="34"/>
      <c r="B664" s="7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ht="12.75" x14ac:dyDescent="0.2">
      <c r="A665" s="34"/>
      <c r="B665" s="7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12.75" x14ac:dyDescent="0.2">
      <c r="A666" s="34"/>
      <c r="B666" s="7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ht="12.75" x14ac:dyDescent="0.2">
      <c r="A667" s="34"/>
      <c r="B667" s="7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ht="12.75" x14ac:dyDescent="0.2">
      <c r="A668" s="34"/>
      <c r="B668" s="7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12.75" x14ac:dyDescent="0.2">
      <c r="A669" s="34"/>
      <c r="B669" s="7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ht="12.75" x14ac:dyDescent="0.2">
      <c r="A670" s="34"/>
      <c r="B670" s="7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ht="12.75" x14ac:dyDescent="0.2">
      <c r="A671" s="34"/>
      <c r="B671" s="7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ht="12.75" x14ac:dyDescent="0.2">
      <c r="A672" s="34"/>
      <c r="B672" s="7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ht="12.75" x14ac:dyDescent="0.2">
      <c r="A673" s="34"/>
      <c r="B673" s="7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ht="12.75" x14ac:dyDescent="0.2">
      <c r="A674" s="34"/>
      <c r="B674" s="7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ht="12.75" x14ac:dyDescent="0.2">
      <c r="A675" s="34"/>
      <c r="B675" s="7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ht="12.75" x14ac:dyDescent="0.2">
      <c r="A676" s="34"/>
      <c r="B676" s="7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ht="12.75" x14ac:dyDescent="0.2">
      <c r="A677" s="34"/>
      <c r="B677" s="7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ht="12.75" x14ac:dyDescent="0.2">
      <c r="A678" s="34"/>
      <c r="B678" s="7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ht="12.75" x14ac:dyDescent="0.2">
      <c r="A679" s="34"/>
      <c r="B679" s="7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ht="12.75" x14ac:dyDescent="0.2">
      <c r="A680" s="34"/>
      <c r="B680" s="7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12.75" x14ac:dyDescent="0.2">
      <c r="A681" s="34"/>
      <c r="B681" s="7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ht="12.75" x14ac:dyDescent="0.2">
      <c r="A682" s="34"/>
      <c r="B682" s="7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ht="12.75" x14ac:dyDescent="0.2">
      <c r="A683" s="34"/>
      <c r="B683" s="7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ht="12.75" x14ac:dyDescent="0.2">
      <c r="A684" s="34"/>
      <c r="B684" s="7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ht="12.75" x14ac:dyDescent="0.2">
      <c r="A685" s="34"/>
      <c r="B685" s="7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ht="12.75" x14ac:dyDescent="0.2">
      <c r="A686" s="34"/>
      <c r="B686" s="7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ht="12.75" x14ac:dyDescent="0.2">
      <c r="A687" s="34"/>
      <c r="B687" s="7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ht="12.75" x14ac:dyDescent="0.2">
      <c r="A688" s="34"/>
      <c r="B688" s="7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ht="12.75" x14ac:dyDescent="0.2">
      <c r="A689" s="34"/>
      <c r="B689" s="7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ht="12.75" x14ac:dyDescent="0.2">
      <c r="A690" s="34"/>
      <c r="B690" s="7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ht="12.75" x14ac:dyDescent="0.2">
      <c r="A691" s="34"/>
      <c r="B691" s="7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ht="12.75" x14ac:dyDescent="0.2">
      <c r="A692" s="34"/>
      <c r="B692" s="7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ht="12.75" x14ac:dyDescent="0.2">
      <c r="A693" s="34"/>
      <c r="B693" s="7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ht="12.75" x14ac:dyDescent="0.2">
      <c r="A694" s="34"/>
      <c r="B694" s="7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12.75" x14ac:dyDescent="0.2">
      <c r="A695" s="34"/>
      <c r="B695" s="7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ht="12.75" x14ac:dyDescent="0.2">
      <c r="A696" s="34"/>
      <c r="B696" s="7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ht="12.75" x14ac:dyDescent="0.2">
      <c r="A697" s="34"/>
      <c r="B697" s="7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ht="12.75" x14ac:dyDescent="0.2">
      <c r="A698" s="34"/>
      <c r="B698" s="7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ht="12.75" x14ac:dyDescent="0.2">
      <c r="A699" s="34"/>
      <c r="B699" s="7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ht="12.75" x14ac:dyDescent="0.2">
      <c r="A700" s="34"/>
      <c r="B700" s="7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ht="12.75" x14ac:dyDescent="0.2">
      <c r="A701" s="34"/>
      <c r="B701" s="7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ht="12.75" x14ac:dyDescent="0.2">
      <c r="A702" s="34"/>
      <c r="B702" s="7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ht="12.75" x14ac:dyDescent="0.2">
      <c r="A703" s="34"/>
      <c r="B703" s="7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ht="12.75" x14ac:dyDescent="0.2">
      <c r="A704" s="34"/>
      <c r="B704" s="7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ht="12.75" x14ac:dyDescent="0.2">
      <c r="A705" s="34"/>
      <c r="B705" s="7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ht="12.75" x14ac:dyDescent="0.2">
      <c r="A706" s="34"/>
      <c r="B706" s="7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ht="12.75" x14ac:dyDescent="0.2">
      <c r="A707" s="34"/>
      <c r="B707" s="7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ht="12.75" x14ac:dyDescent="0.2">
      <c r="A708" s="34"/>
      <c r="B708" s="7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 ht="12.75" x14ac:dyDescent="0.2">
      <c r="A709" s="34"/>
      <c r="B709" s="7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ht="12.75" x14ac:dyDescent="0.2">
      <c r="A710" s="34"/>
      <c r="B710" s="7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ht="12.75" x14ac:dyDescent="0.2">
      <c r="A711" s="34"/>
      <c r="B711" s="7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 ht="12.75" x14ac:dyDescent="0.2">
      <c r="A712" s="34"/>
      <c r="B712" s="7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ht="12.75" x14ac:dyDescent="0.2">
      <c r="A713" s="34"/>
      <c r="B713" s="7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 ht="12.75" x14ac:dyDescent="0.2">
      <c r="A714" s="34"/>
      <c r="B714" s="7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ht="12.75" x14ac:dyDescent="0.2">
      <c r="A715" s="34"/>
      <c r="B715" s="7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ht="12.75" x14ac:dyDescent="0.2">
      <c r="A716" s="34"/>
      <c r="B716" s="7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12.75" x14ac:dyDescent="0.2">
      <c r="A717" s="34"/>
      <c r="B717" s="7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ht="12.75" x14ac:dyDescent="0.2">
      <c r="A718" s="34"/>
      <c r="B718" s="7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 ht="12.75" x14ac:dyDescent="0.2">
      <c r="A719" s="34"/>
      <c r="B719" s="7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ht="12.75" x14ac:dyDescent="0.2">
      <c r="A720" s="34"/>
      <c r="B720" s="7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 ht="12.75" x14ac:dyDescent="0.2">
      <c r="A721" s="34"/>
      <c r="B721" s="7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 ht="12.75" x14ac:dyDescent="0.2">
      <c r="A722" s="34"/>
      <c r="B722" s="7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12.75" x14ac:dyDescent="0.2">
      <c r="A723" s="34"/>
      <c r="B723" s="7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 ht="12.75" x14ac:dyDescent="0.2">
      <c r="A724" s="34"/>
      <c r="B724" s="7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 ht="12.75" x14ac:dyDescent="0.2">
      <c r="A725" s="34"/>
      <c r="B725" s="7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 ht="12.75" x14ac:dyDescent="0.2">
      <c r="A726" s="34"/>
      <c r="B726" s="7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ht="12.75" x14ac:dyDescent="0.2">
      <c r="A727" s="34"/>
      <c r="B727" s="7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ht="12.75" x14ac:dyDescent="0.2">
      <c r="A728" s="34"/>
      <c r="B728" s="7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ht="12.75" x14ac:dyDescent="0.2">
      <c r="A729" s="34"/>
      <c r="B729" s="7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ht="12.75" x14ac:dyDescent="0.2">
      <c r="A730" s="34"/>
      <c r="B730" s="7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 ht="12.75" x14ac:dyDescent="0.2">
      <c r="A731" s="34"/>
      <c r="B731" s="7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 ht="12.75" x14ac:dyDescent="0.2">
      <c r="A732" s="34"/>
      <c r="B732" s="7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ht="12.75" x14ac:dyDescent="0.2">
      <c r="A733" s="34"/>
      <c r="B733" s="7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 ht="12.75" x14ac:dyDescent="0.2">
      <c r="A734" s="34"/>
      <c r="B734" s="7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ht="12.75" x14ac:dyDescent="0.2">
      <c r="A735" s="34"/>
      <c r="B735" s="7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12.75" x14ac:dyDescent="0.2">
      <c r="A736" s="34"/>
      <c r="B736" s="7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 ht="12.75" x14ac:dyDescent="0.2">
      <c r="A737" s="34"/>
      <c r="B737" s="7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 ht="12.75" x14ac:dyDescent="0.2">
      <c r="A738" s="34"/>
      <c r="B738" s="7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12.75" x14ac:dyDescent="0.2">
      <c r="A739" s="34"/>
      <c r="B739" s="7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ht="12.75" x14ac:dyDescent="0.2">
      <c r="A740" s="34"/>
      <c r="B740" s="7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ht="12.75" x14ac:dyDescent="0.2">
      <c r="A741" s="34"/>
      <c r="B741" s="7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 ht="12.75" x14ac:dyDescent="0.2">
      <c r="A742" s="34"/>
      <c r="B742" s="7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 ht="12.75" x14ac:dyDescent="0.2">
      <c r="A743" s="34"/>
      <c r="B743" s="7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 ht="12.75" x14ac:dyDescent="0.2">
      <c r="A744" s="34"/>
      <c r="B744" s="7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 ht="12.75" x14ac:dyDescent="0.2">
      <c r="A745" s="34"/>
      <c r="B745" s="7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ht="12.75" x14ac:dyDescent="0.2">
      <c r="A746" s="34"/>
      <c r="B746" s="7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ht="12.75" x14ac:dyDescent="0.2">
      <c r="A747" s="34"/>
      <c r="B747" s="7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 ht="12.75" x14ac:dyDescent="0.2">
      <c r="A748" s="34"/>
      <c r="B748" s="7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 ht="12.75" x14ac:dyDescent="0.2">
      <c r="A749" s="34"/>
      <c r="B749" s="7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ht="12.75" x14ac:dyDescent="0.2">
      <c r="A750" s="34"/>
      <c r="B750" s="7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ht="12.75" x14ac:dyDescent="0.2">
      <c r="A751" s="34"/>
      <c r="B751" s="7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 ht="12.75" x14ac:dyDescent="0.2">
      <c r="A752" s="34"/>
      <c r="B752" s="7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ht="12.75" x14ac:dyDescent="0.2">
      <c r="A753" s="34"/>
      <c r="B753" s="7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 ht="12.75" x14ac:dyDescent="0.2">
      <c r="A754" s="34"/>
      <c r="B754" s="7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 ht="12.75" x14ac:dyDescent="0.2">
      <c r="A755" s="34"/>
      <c r="B755" s="7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ht="12.75" x14ac:dyDescent="0.2">
      <c r="A756" s="34"/>
      <c r="B756" s="7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 ht="12.75" x14ac:dyDescent="0.2">
      <c r="A757" s="34"/>
      <c r="B757" s="7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 ht="12.75" x14ac:dyDescent="0.2">
      <c r="A758" s="34"/>
      <c r="B758" s="7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 ht="12.75" x14ac:dyDescent="0.2">
      <c r="A759" s="34"/>
      <c r="B759" s="7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ht="12.75" x14ac:dyDescent="0.2">
      <c r="A760" s="34"/>
      <c r="B760" s="7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ht="12.75" x14ac:dyDescent="0.2">
      <c r="A761" s="34"/>
      <c r="B761" s="7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 ht="12.75" x14ac:dyDescent="0.2">
      <c r="A762" s="34"/>
      <c r="B762" s="7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 ht="12.75" x14ac:dyDescent="0.2">
      <c r="A763" s="34"/>
      <c r="B763" s="7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 ht="12.75" x14ac:dyDescent="0.2">
      <c r="A764" s="34"/>
      <c r="B764" s="7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12.75" x14ac:dyDescent="0.2">
      <c r="A765" s="34"/>
      <c r="B765" s="7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 ht="12.75" x14ac:dyDescent="0.2">
      <c r="A766" s="34"/>
      <c r="B766" s="7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 ht="12.75" x14ac:dyDescent="0.2">
      <c r="A767" s="34"/>
      <c r="B767" s="7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ht="12.75" x14ac:dyDescent="0.2">
      <c r="A768" s="34"/>
      <c r="B768" s="7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12.75" x14ac:dyDescent="0.2">
      <c r="A769" s="34"/>
      <c r="B769" s="7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ht="12.75" x14ac:dyDescent="0.2">
      <c r="A770" s="34"/>
      <c r="B770" s="7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 ht="12.75" x14ac:dyDescent="0.2">
      <c r="A771" s="34"/>
      <c r="B771" s="7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12.75" x14ac:dyDescent="0.2">
      <c r="A772" s="34"/>
      <c r="B772" s="7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ht="12.75" x14ac:dyDescent="0.2">
      <c r="A773" s="34"/>
      <c r="B773" s="7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 ht="12.75" x14ac:dyDescent="0.2">
      <c r="A774" s="34"/>
      <c r="B774" s="7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12.75" x14ac:dyDescent="0.2">
      <c r="A775" s="34"/>
      <c r="B775" s="7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 ht="12.75" x14ac:dyDescent="0.2">
      <c r="A776" s="34"/>
      <c r="B776" s="7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 ht="12.75" x14ac:dyDescent="0.2">
      <c r="A777" s="34"/>
      <c r="B777" s="7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12.75" x14ac:dyDescent="0.2">
      <c r="A778" s="34"/>
      <c r="B778" s="7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 ht="12.75" x14ac:dyDescent="0.2">
      <c r="A779" s="34"/>
      <c r="B779" s="7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ht="12.75" x14ac:dyDescent="0.2">
      <c r="A780" s="34"/>
      <c r="B780" s="7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12.75" x14ac:dyDescent="0.2">
      <c r="A781" s="34"/>
      <c r="B781" s="7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ht="12.75" x14ac:dyDescent="0.2">
      <c r="A782" s="34"/>
      <c r="B782" s="7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 ht="12.75" x14ac:dyDescent="0.2">
      <c r="A783" s="34"/>
      <c r="B783" s="7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 ht="12.75" x14ac:dyDescent="0.2">
      <c r="A784" s="34"/>
      <c r="B784" s="7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12.75" x14ac:dyDescent="0.2">
      <c r="A785" s="34"/>
      <c r="B785" s="7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ht="12.75" x14ac:dyDescent="0.2">
      <c r="A786" s="34"/>
      <c r="B786" s="7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 ht="12.75" x14ac:dyDescent="0.2">
      <c r="A787" s="34"/>
      <c r="B787" s="7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 ht="12.75" x14ac:dyDescent="0.2">
      <c r="A788" s="34"/>
      <c r="B788" s="7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 ht="12.75" x14ac:dyDescent="0.2">
      <c r="A789" s="34"/>
      <c r="B789" s="7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ht="12.75" x14ac:dyDescent="0.2">
      <c r="A790" s="34"/>
      <c r="B790" s="7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ht="12.75" x14ac:dyDescent="0.2">
      <c r="A791" s="34"/>
      <c r="B791" s="7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ht="12.75" x14ac:dyDescent="0.2">
      <c r="A792" s="34"/>
      <c r="B792" s="7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 ht="12.75" x14ac:dyDescent="0.2">
      <c r="A793" s="34"/>
      <c r="B793" s="7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 ht="12.75" x14ac:dyDescent="0.2">
      <c r="A794" s="34"/>
      <c r="B794" s="7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ht="12.75" x14ac:dyDescent="0.2">
      <c r="A795" s="34"/>
      <c r="B795" s="7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ht="12.75" x14ac:dyDescent="0.2">
      <c r="A796" s="34"/>
      <c r="B796" s="7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 ht="12.75" x14ac:dyDescent="0.2">
      <c r="A797" s="34"/>
      <c r="B797" s="7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 ht="12.75" x14ac:dyDescent="0.2">
      <c r="A798" s="34"/>
      <c r="B798" s="7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 ht="12.75" x14ac:dyDescent="0.2">
      <c r="A799" s="34"/>
      <c r="B799" s="7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ht="12.75" x14ac:dyDescent="0.2">
      <c r="A800" s="34"/>
      <c r="B800" s="7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ht="12.75" x14ac:dyDescent="0.2">
      <c r="A801" s="34"/>
      <c r="B801" s="7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 ht="12.75" x14ac:dyDescent="0.2">
      <c r="A802" s="34"/>
      <c r="B802" s="7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 ht="12.75" x14ac:dyDescent="0.2">
      <c r="A803" s="34"/>
      <c r="B803" s="7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12.75" x14ac:dyDescent="0.2">
      <c r="A804" s="34"/>
      <c r="B804" s="7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 ht="12.75" x14ac:dyDescent="0.2">
      <c r="A805" s="34"/>
      <c r="B805" s="7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ht="12.75" x14ac:dyDescent="0.2">
      <c r="A806" s="34"/>
      <c r="B806" s="7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 ht="12.75" x14ac:dyDescent="0.2">
      <c r="A807" s="34"/>
      <c r="B807" s="7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12.75" x14ac:dyDescent="0.2">
      <c r="A808" s="34"/>
      <c r="B808" s="7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ht="12.75" x14ac:dyDescent="0.2">
      <c r="A809" s="34"/>
      <c r="B809" s="7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ht="12.75" x14ac:dyDescent="0.2">
      <c r="A810" s="34"/>
      <c r="B810" s="7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ht="12.75" x14ac:dyDescent="0.2">
      <c r="A811" s="34"/>
      <c r="B811" s="7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12.75" x14ac:dyDescent="0.2">
      <c r="A812" s="34"/>
      <c r="B812" s="7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 ht="12.75" x14ac:dyDescent="0.2">
      <c r="A813" s="34"/>
      <c r="B813" s="7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 ht="12.75" x14ac:dyDescent="0.2">
      <c r="A814" s="34"/>
      <c r="B814" s="7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 ht="12.75" x14ac:dyDescent="0.2">
      <c r="A815" s="34"/>
      <c r="B815" s="7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12.75" x14ac:dyDescent="0.2">
      <c r="A816" s="34"/>
      <c r="B816" s="7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 ht="12.75" x14ac:dyDescent="0.2">
      <c r="A817" s="34"/>
      <c r="B817" s="7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 ht="12.75" x14ac:dyDescent="0.2">
      <c r="A818" s="34"/>
      <c r="B818" s="7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12.75" x14ac:dyDescent="0.2">
      <c r="A819" s="34"/>
      <c r="B819" s="7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ht="12.75" x14ac:dyDescent="0.2">
      <c r="A820" s="34"/>
      <c r="B820" s="7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ht="12.75" x14ac:dyDescent="0.2">
      <c r="A821" s="34"/>
      <c r="B821" s="7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12.75" x14ac:dyDescent="0.2">
      <c r="A822" s="34"/>
      <c r="B822" s="7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 ht="12.75" x14ac:dyDescent="0.2">
      <c r="A823" s="34"/>
      <c r="B823" s="7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 ht="12.75" x14ac:dyDescent="0.2">
      <c r="A824" s="34"/>
      <c r="B824" s="7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 ht="12.75" x14ac:dyDescent="0.2">
      <c r="A825" s="34"/>
      <c r="B825" s="7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ht="12.75" x14ac:dyDescent="0.2">
      <c r="A826" s="34"/>
      <c r="B826" s="7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 ht="12.75" x14ac:dyDescent="0.2">
      <c r="A827" s="34"/>
      <c r="B827" s="7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ht="12.75" x14ac:dyDescent="0.2">
      <c r="A828" s="34"/>
      <c r="B828" s="7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 ht="12.75" x14ac:dyDescent="0.2">
      <c r="A829" s="34"/>
      <c r="B829" s="7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ht="12.75" x14ac:dyDescent="0.2">
      <c r="A830" s="34"/>
      <c r="B830" s="7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ht="12.75" x14ac:dyDescent="0.2">
      <c r="A831" s="34"/>
      <c r="B831" s="7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 ht="12.75" x14ac:dyDescent="0.2">
      <c r="A832" s="34"/>
      <c r="B832" s="7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12.75" x14ac:dyDescent="0.2">
      <c r="A833" s="34"/>
      <c r="B833" s="7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 ht="12.75" x14ac:dyDescent="0.2">
      <c r="A834" s="34"/>
      <c r="B834" s="7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 ht="12.75" x14ac:dyDescent="0.2">
      <c r="A835" s="34"/>
      <c r="B835" s="7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 ht="12.75" x14ac:dyDescent="0.2">
      <c r="A836" s="34"/>
      <c r="B836" s="7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 ht="12.75" x14ac:dyDescent="0.2">
      <c r="A837" s="34"/>
      <c r="B837" s="7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 ht="12.75" x14ac:dyDescent="0.2">
      <c r="A838" s="34"/>
      <c r="B838" s="7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 ht="12.75" x14ac:dyDescent="0.2">
      <c r="A839" s="34"/>
      <c r="B839" s="7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 ht="12.75" x14ac:dyDescent="0.2">
      <c r="A840" s="34"/>
      <c r="B840" s="7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 ht="12.75" x14ac:dyDescent="0.2">
      <c r="A841" s="34"/>
      <c r="B841" s="7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 ht="12.75" x14ac:dyDescent="0.2">
      <c r="A842" s="34"/>
      <c r="B842" s="7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 ht="12.75" x14ac:dyDescent="0.2">
      <c r="A843" s="34"/>
      <c r="B843" s="7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12.75" x14ac:dyDescent="0.2">
      <c r="A844" s="34"/>
      <c r="B844" s="7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 ht="12.75" x14ac:dyDescent="0.2">
      <c r="A845" s="34"/>
      <c r="B845" s="7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 ht="12.75" x14ac:dyDescent="0.2">
      <c r="A846" s="34"/>
      <c r="B846" s="7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12.75" x14ac:dyDescent="0.2">
      <c r="A847" s="34"/>
      <c r="B847" s="7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 ht="12.75" x14ac:dyDescent="0.2">
      <c r="A848" s="34"/>
      <c r="B848" s="7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 ht="12.75" x14ac:dyDescent="0.2">
      <c r="A849" s="34"/>
      <c r="B849" s="7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ht="12.75" x14ac:dyDescent="0.2">
      <c r="A850" s="34"/>
      <c r="B850" s="7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12.75" x14ac:dyDescent="0.2">
      <c r="A851" s="34"/>
      <c r="B851" s="7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 ht="12.75" x14ac:dyDescent="0.2">
      <c r="A852" s="34"/>
      <c r="B852" s="7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 ht="12.75" x14ac:dyDescent="0.2">
      <c r="A853" s="34"/>
      <c r="B853" s="7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12.75" x14ac:dyDescent="0.2">
      <c r="A854" s="34"/>
      <c r="B854" s="7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 ht="12.75" x14ac:dyDescent="0.2">
      <c r="A855" s="34"/>
      <c r="B855" s="7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 ht="12.75" x14ac:dyDescent="0.2">
      <c r="A856" s="34"/>
      <c r="B856" s="7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12.75" x14ac:dyDescent="0.2">
      <c r="A857" s="34"/>
      <c r="B857" s="7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 ht="12.75" x14ac:dyDescent="0.2">
      <c r="A858" s="34"/>
      <c r="B858" s="7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 ht="12.75" x14ac:dyDescent="0.2">
      <c r="A859" s="34"/>
      <c r="B859" s="7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12.75" x14ac:dyDescent="0.2">
      <c r="A860" s="34"/>
      <c r="B860" s="7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 ht="12.75" x14ac:dyDescent="0.2">
      <c r="A861" s="34"/>
      <c r="B861" s="7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 ht="12.75" x14ac:dyDescent="0.2">
      <c r="A862" s="34"/>
      <c r="B862" s="7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12.75" x14ac:dyDescent="0.2">
      <c r="A863" s="34"/>
      <c r="B863" s="7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 ht="12.75" x14ac:dyDescent="0.2">
      <c r="A864" s="34"/>
      <c r="B864" s="7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 ht="12.75" x14ac:dyDescent="0.2">
      <c r="A865" s="34"/>
      <c r="B865" s="7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12.75" x14ac:dyDescent="0.2">
      <c r="A866" s="34"/>
      <c r="B866" s="7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 ht="12.75" x14ac:dyDescent="0.2">
      <c r="A867" s="34"/>
      <c r="B867" s="7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 ht="12.75" x14ac:dyDescent="0.2">
      <c r="A868" s="34"/>
      <c r="B868" s="7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12.75" x14ac:dyDescent="0.2">
      <c r="A869" s="34"/>
      <c r="B869" s="7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ht="12.75" x14ac:dyDescent="0.2">
      <c r="A870" s="34"/>
      <c r="B870" s="7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 ht="12.75" x14ac:dyDescent="0.2">
      <c r="A871" s="34"/>
      <c r="B871" s="7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 ht="12.75" x14ac:dyDescent="0.2">
      <c r="A872" s="34"/>
      <c r="B872" s="7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12.75" x14ac:dyDescent="0.2">
      <c r="A873" s="34"/>
      <c r="B873" s="7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 ht="12.75" x14ac:dyDescent="0.2">
      <c r="A874" s="34"/>
      <c r="B874" s="7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 ht="12.75" x14ac:dyDescent="0.2">
      <c r="A875" s="34"/>
      <c r="B875" s="7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12.75" x14ac:dyDescent="0.2">
      <c r="A876" s="34"/>
      <c r="B876" s="7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 ht="12.75" x14ac:dyDescent="0.2">
      <c r="A877" s="34"/>
      <c r="B877" s="7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 ht="12.75" x14ac:dyDescent="0.2">
      <c r="A878" s="34"/>
      <c r="B878" s="7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12.75" x14ac:dyDescent="0.2">
      <c r="A879" s="34"/>
      <c r="B879" s="7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 ht="12.75" x14ac:dyDescent="0.2">
      <c r="A880" s="34"/>
      <c r="B880" s="7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 ht="12.75" x14ac:dyDescent="0.2">
      <c r="A881" s="34"/>
      <c r="B881" s="7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12.75" x14ac:dyDescent="0.2">
      <c r="A882" s="34"/>
      <c r="B882" s="7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 ht="12.75" x14ac:dyDescent="0.2">
      <c r="A883" s="34"/>
      <c r="B883" s="7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ht="12.75" x14ac:dyDescent="0.2">
      <c r="A884" s="34"/>
      <c r="B884" s="7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 ht="12.75" x14ac:dyDescent="0.2">
      <c r="A885" s="34"/>
      <c r="B885" s="7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12.75" x14ac:dyDescent="0.2">
      <c r="A886" s="34"/>
      <c r="B886" s="7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 ht="12.75" x14ac:dyDescent="0.2">
      <c r="A887" s="34"/>
      <c r="B887" s="7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 ht="12.75" x14ac:dyDescent="0.2">
      <c r="A888" s="34"/>
      <c r="B888" s="7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12.75" x14ac:dyDescent="0.2">
      <c r="A889" s="34"/>
      <c r="B889" s="7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 ht="12.75" x14ac:dyDescent="0.2">
      <c r="A890" s="34"/>
      <c r="B890" s="7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</sheetData>
  <mergeCells count="8">
    <mergeCell ref="D1:G1"/>
    <mergeCell ref="D6:P6"/>
    <mergeCell ref="D7:P7"/>
    <mergeCell ref="D8:P8"/>
    <mergeCell ref="D2:P2"/>
    <mergeCell ref="D3:P3"/>
    <mergeCell ref="D4:P4"/>
    <mergeCell ref="D5:P5"/>
  </mergeCells>
  <printOptions horizontalCentered="1"/>
  <pageMargins left="0.3" right="0.3" top="0.3" bottom="0.3" header="0" footer="0"/>
  <pageSetup scale="55" fitToHeight="0" orientation="landscape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127C8-B7B4-4D92-9E62-2833BBCD9BF7}">
  <sheetPr>
    <tabColor theme="9" tint="0.39997558519241921"/>
  </sheetPr>
  <dimension ref="B1:T62"/>
  <sheetViews>
    <sheetView workbookViewId="0"/>
  </sheetViews>
  <sheetFormatPr defaultColWidth="11.42578125" defaultRowHeight="12.75" x14ac:dyDescent="0.2"/>
  <cols>
    <col min="1" max="1" width="3" style="28" customWidth="1"/>
    <col min="2" max="2" width="8.7109375" style="28" customWidth="1"/>
    <col min="3" max="3" width="20.7109375" style="28" customWidth="1"/>
    <col min="4" max="4" width="40.7109375" style="28" customWidth="1"/>
    <col min="5" max="5" width="71.7109375" style="28" customWidth="1"/>
    <col min="6" max="6" width="18.7109375" style="28" customWidth="1"/>
    <col min="7" max="7" width="37.7109375" style="28" customWidth="1"/>
    <col min="8" max="8" width="91.7109375" style="28" customWidth="1"/>
    <col min="9" max="9" width="15.140625" style="28" bestFit="1" customWidth="1"/>
    <col min="10" max="10" width="17.140625" style="28" bestFit="1" customWidth="1"/>
    <col min="11" max="16384" width="11.42578125" style="28"/>
  </cols>
  <sheetData>
    <row r="1" spans="2:20" s="3" customFormat="1" ht="45" customHeight="1" x14ac:dyDescent="0.2">
      <c r="C1" s="2"/>
      <c r="D1" s="133" t="s">
        <v>180</v>
      </c>
      <c r="E1" s="133"/>
      <c r="F1" s="133"/>
      <c r="G1" s="133"/>
      <c r="H1" s="2"/>
      <c r="I1" s="15"/>
      <c r="J1" s="15"/>
      <c r="K1" s="15"/>
      <c r="L1" s="9"/>
      <c r="M1" s="9"/>
      <c r="N1" s="2"/>
      <c r="O1" s="2"/>
      <c r="P1" s="2"/>
      <c r="Q1" s="2"/>
      <c r="R1" s="2"/>
      <c r="S1" s="2"/>
      <c r="T1" s="2"/>
    </row>
    <row r="2" spans="2:20" s="3" customFormat="1" ht="19.5" customHeight="1" x14ac:dyDescent="0.2">
      <c r="B2" s="193" t="s">
        <v>195</v>
      </c>
      <c r="C2" s="194"/>
      <c r="D2" s="194"/>
      <c r="E2" s="195"/>
      <c r="F2" s="15"/>
      <c r="G2" s="15"/>
      <c r="H2" s="2"/>
      <c r="I2" s="15"/>
      <c r="J2" s="15"/>
      <c r="K2" s="15"/>
      <c r="L2" s="9"/>
      <c r="M2" s="9"/>
      <c r="N2" s="2"/>
      <c r="O2" s="2"/>
      <c r="P2" s="2"/>
      <c r="Q2" s="2"/>
      <c r="R2" s="2"/>
      <c r="S2" s="2"/>
      <c r="T2" s="2"/>
    </row>
    <row r="3" spans="2:20" s="3" customFormat="1" ht="19.5" customHeight="1" x14ac:dyDescent="0.2">
      <c r="B3" s="209" t="s">
        <v>194</v>
      </c>
      <c r="C3" s="210"/>
      <c r="D3" s="209" t="s">
        <v>196</v>
      </c>
      <c r="E3" s="210"/>
      <c r="F3" s="15"/>
      <c r="G3" s="15"/>
      <c r="H3" s="2"/>
      <c r="I3" s="15"/>
      <c r="J3" s="15"/>
      <c r="K3" s="15"/>
      <c r="L3" s="9"/>
      <c r="M3" s="9"/>
      <c r="N3" s="2"/>
      <c r="O3" s="2"/>
      <c r="P3" s="2"/>
      <c r="Q3" s="2"/>
      <c r="R3" s="2"/>
      <c r="S3" s="2"/>
      <c r="T3" s="2"/>
    </row>
    <row r="4" spans="2:20" s="3" customFormat="1" ht="19.5" customHeight="1" x14ac:dyDescent="0.2">
      <c r="B4" s="196" t="s">
        <v>219</v>
      </c>
      <c r="C4" s="198"/>
      <c r="D4" s="196" t="s">
        <v>220</v>
      </c>
      <c r="E4" s="198"/>
      <c r="F4" s="15"/>
      <c r="G4" s="15"/>
      <c r="H4" s="2"/>
      <c r="I4" s="15"/>
      <c r="J4" s="15"/>
      <c r="K4" s="15"/>
      <c r="L4" s="9"/>
      <c r="M4" s="9"/>
      <c r="N4" s="2"/>
      <c r="O4" s="2"/>
      <c r="P4" s="2"/>
      <c r="Q4" s="2"/>
      <c r="R4" s="2"/>
      <c r="S4" s="2"/>
      <c r="T4" s="2"/>
    </row>
    <row r="5" spans="2:20" s="3" customFormat="1" ht="19.5" customHeight="1" x14ac:dyDescent="0.2">
      <c r="C5" s="2"/>
      <c r="D5" s="15"/>
      <c r="E5" s="15"/>
      <c r="F5" s="15"/>
      <c r="G5" s="15"/>
      <c r="H5" s="2"/>
      <c r="I5" s="15"/>
      <c r="J5" s="15"/>
      <c r="K5" s="15"/>
      <c r="L5" s="9"/>
      <c r="M5" s="9"/>
      <c r="N5" s="2"/>
      <c r="O5" s="2"/>
      <c r="P5" s="2"/>
      <c r="Q5" s="2"/>
      <c r="R5" s="2"/>
      <c r="S5" s="2"/>
      <c r="T5" s="2"/>
    </row>
    <row r="6" spans="2:20" ht="19.5" customHeight="1" x14ac:dyDescent="0.2">
      <c r="B6" s="193" t="s">
        <v>182</v>
      </c>
      <c r="C6" s="194"/>
      <c r="D6" s="194"/>
      <c r="E6" s="195"/>
      <c r="F6" s="16"/>
      <c r="G6" s="40"/>
      <c r="H6" s="16"/>
    </row>
    <row r="7" spans="2:20" ht="30" customHeight="1" x14ac:dyDescent="0.2">
      <c r="B7" s="196"/>
      <c r="C7" s="198"/>
      <c r="D7" s="199" t="s">
        <v>192</v>
      </c>
      <c r="E7" s="200"/>
    </row>
    <row r="8" spans="2:20" ht="19.5" customHeight="1" x14ac:dyDescent="0.2">
      <c r="B8" s="207"/>
      <c r="C8" s="208"/>
      <c r="D8" s="199" t="s">
        <v>183</v>
      </c>
      <c r="E8" s="200"/>
    </row>
    <row r="9" spans="2:20" ht="19.5" customHeight="1" x14ac:dyDescent="0.2">
      <c r="B9" s="211" t="s">
        <v>193</v>
      </c>
      <c r="C9" s="212"/>
      <c r="D9" s="199"/>
      <c r="E9" s="200"/>
    </row>
    <row r="10" spans="2:20" ht="30" customHeight="1" x14ac:dyDescent="0.2">
      <c r="B10" s="65"/>
      <c r="C10" s="66"/>
      <c r="D10" s="199" t="s">
        <v>184</v>
      </c>
      <c r="E10" s="200"/>
    </row>
    <row r="11" spans="2:20" ht="19.5" customHeight="1" x14ac:dyDescent="0.2">
      <c r="B11" s="65"/>
      <c r="C11" s="45" t="s">
        <v>188</v>
      </c>
      <c r="D11" s="199" t="s">
        <v>197</v>
      </c>
      <c r="E11" s="200"/>
    </row>
    <row r="12" spans="2:20" ht="19.5" customHeight="1" x14ac:dyDescent="0.2">
      <c r="B12" s="65"/>
      <c r="C12" s="67"/>
      <c r="D12" s="199" t="s">
        <v>185</v>
      </c>
      <c r="E12" s="200"/>
    </row>
    <row r="13" spans="2:20" ht="19.5" customHeight="1" x14ac:dyDescent="0.2">
      <c r="B13" s="65"/>
      <c r="C13" s="68"/>
      <c r="D13" s="199" t="s">
        <v>186</v>
      </c>
      <c r="E13" s="200"/>
    </row>
    <row r="14" spans="2:20" ht="19.5" customHeight="1" x14ac:dyDescent="0.2">
      <c r="B14" s="65"/>
      <c r="C14" s="69"/>
      <c r="D14" s="199" t="s">
        <v>187</v>
      </c>
      <c r="E14" s="200"/>
    </row>
    <row r="15" spans="2:20" ht="19.5" customHeight="1" x14ac:dyDescent="0.2">
      <c r="B15" s="197"/>
      <c r="C15" s="197"/>
      <c r="D15" s="213"/>
      <c r="E15" s="213"/>
    </row>
    <row r="16" spans="2:20" ht="19.5" customHeight="1" x14ac:dyDescent="0.2">
      <c r="B16" s="193" t="s">
        <v>190</v>
      </c>
      <c r="C16" s="194"/>
      <c r="D16" s="194"/>
      <c r="E16" s="195"/>
      <c r="F16" s="16"/>
      <c r="G16" s="40"/>
      <c r="H16" s="16"/>
    </row>
    <row r="17" spans="2:6" ht="30" customHeight="1" x14ac:dyDescent="0.2">
      <c r="B17" s="196" t="s">
        <v>191</v>
      </c>
      <c r="C17" s="198"/>
      <c r="D17" s="199" t="s">
        <v>198</v>
      </c>
      <c r="E17" s="200"/>
    </row>
    <row r="18" spans="2:6" ht="19.5" customHeight="1" x14ac:dyDescent="0.2">
      <c r="B18" s="16"/>
      <c r="C18" s="40"/>
      <c r="D18" s="64"/>
    </row>
    <row r="19" spans="2:6" ht="19.5" customHeight="1" x14ac:dyDescent="0.2">
      <c r="B19" s="16"/>
      <c r="C19" s="40"/>
      <c r="D19" s="16"/>
    </row>
    <row r="20" spans="2:6" ht="19.5" customHeight="1" x14ac:dyDescent="0.2">
      <c r="B20" s="16"/>
      <c r="C20" s="40"/>
      <c r="D20" s="16"/>
    </row>
    <row r="21" spans="2:6" ht="19.5" customHeight="1" x14ac:dyDescent="0.2">
      <c r="B21" s="47"/>
      <c r="C21" s="47"/>
      <c r="D21" s="47"/>
      <c r="E21" s="192"/>
      <c r="F21" s="192"/>
    </row>
    <row r="22" spans="2:6" ht="19.5" customHeight="1" x14ac:dyDescent="0.2">
      <c r="B22" s="16"/>
      <c r="C22" s="40"/>
      <c r="D22" s="63"/>
    </row>
    <row r="23" spans="2:6" ht="19.5" customHeight="1" x14ac:dyDescent="0.2">
      <c r="B23" s="16"/>
      <c r="C23" s="40"/>
      <c r="D23" s="63"/>
    </row>
    <row r="24" spans="2:6" ht="19.5" customHeight="1" x14ac:dyDescent="0.2">
      <c r="B24" s="16"/>
      <c r="C24" s="62"/>
      <c r="D24" s="63"/>
    </row>
    <row r="25" spans="2:6" ht="19.5" customHeight="1" x14ac:dyDescent="0.2">
      <c r="B25" s="16"/>
      <c r="C25" s="40"/>
      <c r="D25" s="16"/>
    </row>
    <row r="26" spans="2:6" ht="19.5" customHeight="1" x14ac:dyDescent="0.2">
      <c r="B26" s="16"/>
      <c r="C26" s="40"/>
      <c r="D26" s="16"/>
    </row>
    <row r="27" spans="2:6" ht="19.5" customHeight="1" x14ac:dyDescent="0.2"/>
    <row r="28" spans="2:6" ht="19.5" customHeight="1" x14ac:dyDescent="0.2"/>
    <row r="29" spans="2:6" ht="19.5" customHeight="1" x14ac:dyDescent="0.2"/>
    <row r="30" spans="2:6" ht="19.5" customHeight="1" x14ac:dyDescent="0.2"/>
    <row r="31" spans="2:6" ht="19.5" customHeight="1" x14ac:dyDescent="0.2"/>
    <row r="32" spans="2:6" ht="19.5" customHeight="1" x14ac:dyDescent="0.2"/>
    <row r="33" s="28" customFormat="1" ht="19.5" customHeight="1" x14ac:dyDescent="0.2"/>
    <row r="34" s="28" customFormat="1" ht="19.5" customHeight="1" x14ac:dyDescent="0.2"/>
    <row r="35" s="28" customFormat="1" ht="19.5" customHeight="1" x14ac:dyDescent="0.2"/>
    <row r="36" s="28" customFormat="1" ht="19.5" customHeight="1" x14ac:dyDescent="0.2"/>
    <row r="37" s="28" customFormat="1" ht="19.5" customHeight="1" x14ac:dyDescent="0.2"/>
    <row r="38" s="28" customFormat="1" ht="19.5" customHeight="1" x14ac:dyDescent="0.2"/>
    <row r="39" s="28" customFormat="1" ht="19.5" customHeight="1" x14ac:dyDescent="0.2"/>
    <row r="40" s="28" customFormat="1" ht="19.5" customHeight="1" x14ac:dyDescent="0.2"/>
    <row r="41" s="28" customFormat="1" ht="19.5" customHeight="1" x14ac:dyDescent="0.2"/>
    <row r="42" s="28" customFormat="1" ht="19.5" customHeight="1" x14ac:dyDescent="0.2"/>
    <row r="43" s="28" customFormat="1" ht="19.5" customHeight="1" x14ac:dyDescent="0.2"/>
    <row r="44" s="28" customFormat="1" ht="19.5" customHeight="1" x14ac:dyDescent="0.2"/>
    <row r="45" s="28" customFormat="1" ht="19.5" customHeight="1" x14ac:dyDescent="0.2"/>
    <row r="46" s="28" customFormat="1" ht="19.5" customHeight="1" x14ac:dyDescent="0.2"/>
    <row r="47" s="28" customFormat="1" ht="19.5" customHeight="1" x14ac:dyDescent="0.2"/>
    <row r="48" s="28" customFormat="1" ht="19.5" customHeight="1" x14ac:dyDescent="0.2"/>
    <row r="49" s="28" customFormat="1" ht="19.5" customHeight="1" x14ac:dyDescent="0.2"/>
    <row r="50" s="28" customFormat="1" ht="19.5" customHeight="1" x14ac:dyDescent="0.2"/>
    <row r="51" s="28" customFormat="1" ht="19.5" customHeight="1" x14ac:dyDescent="0.2"/>
    <row r="52" s="28" customFormat="1" ht="19.5" customHeight="1" x14ac:dyDescent="0.2"/>
    <row r="53" s="28" customFormat="1" ht="19.5" customHeight="1" x14ac:dyDescent="0.2"/>
    <row r="54" s="28" customFormat="1" ht="19.5" customHeight="1" x14ac:dyDescent="0.2"/>
    <row r="55" s="28" customFormat="1" ht="19.5" customHeight="1" x14ac:dyDescent="0.2"/>
    <row r="56" s="28" customFormat="1" ht="19.5" customHeight="1" x14ac:dyDescent="0.2"/>
    <row r="57" s="28" customFormat="1" ht="19.5" customHeight="1" x14ac:dyDescent="0.2"/>
    <row r="58" s="28" customFormat="1" ht="19.5" customHeight="1" x14ac:dyDescent="0.2"/>
    <row r="59" s="28" customFormat="1" ht="19.5" customHeight="1" x14ac:dyDescent="0.2"/>
    <row r="60" s="28" customFormat="1" ht="19.5" customHeight="1" x14ac:dyDescent="0.2"/>
    <row r="61" s="28" customFormat="1" ht="19.5" customHeight="1" x14ac:dyDescent="0.2"/>
    <row r="62" s="28" customFormat="1" ht="19.5" customHeight="1" x14ac:dyDescent="0.2"/>
  </sheetData>
  <mergeCells count="24">
    <mergeCell ref="E21:F21"/>
    <mergeCell ref="B9:C9"/>
    <mergeCell ref="D9:E9"/>
    <mergeCell ref="D10:E10"/>
    <mergeCell ref="D11:E11"/>
    <mergeCell ref="D12:E12"/>
    <mergeCell ref="D13:E13"/>
    <mergeCell ref="B17:C17"/>
    <mergeCell ref="D17:E17"/>
    <mergeCell ref="D14:E14"/>
    <mergeCell ref="B15:C15"/>
    <mergeCell ref="D15:E15"/>
    <mergeCell ref="B16:E16"/>
    <mergeCell ref="D1:G1"/>
    <mergeCell ref="B6:E6"/>
    <mergeCell ref="B7:C7"/>
    <mergeCell ref="D7:E7"/>
    <mergeCell ref="B8:C8"/>
    <mergeCell ref="D8:E8"/>
    <mergeCell ref="B2:E2"/>
    <mergeCell ref="B4:C4"/>
    <mergeCell ref="D4:E4"/>
    <mergeCell ref="B3:C3"/>
    <mergeCell ref="D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Report</vt:lpstr>
      <vt:lpstr>Specific Test Cases</vt:lpstr>
      <vt:lpstr>Optional Support</vt:lpstr>
      <vt:lpstr>Comments</vt:lpstr>
      <vt:lpstr>Legend</vt:lpstr>
      <vt:lpstr>Comments!Print_Area</vt:lpstr>
      <vt:lpstr>Report!Print_Area</vt:lpstr>
      <vt:lpstr>'Specific Test Cases'!Print_Area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EEBus High-Level Parameter Sheet</dc:subject>
  <dc:creator>Sebastian Hambücken</dc:creator>
  <cp:lastModifiedBy>Sebastian Hambücken</cp:lastModifiedBy>
  <cp:lastPrinted>2024-06-28T12:08:58Z</cp:lastPrinted>
  <dcterms:created xsi:type="dcterms:W3CDTF">2017-03-14T15:21:29Z</dcterms:created>
  <dcterms:modified xsi:type="dcterms:W3CDTF">2024-07-08T10:44:30Z</dcterms:modified>
</cp:coreProperties>
</file>